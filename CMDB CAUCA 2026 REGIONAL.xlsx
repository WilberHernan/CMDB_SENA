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resoras" sheetId="1" r:id="rId1"/>
    <sheet name="EquiposSena" sheetId="2" r:id="rId2"/>
    <sheet name="EquiposTelefonica" sheetId="3" r:id="rId3"/>
    <sheet name="Hoja3" sheetId="4" r:id="rId4"/>
    <sheet name="Registros Cambios" sheetId="5" r:id="rId5"/>
    <sheet name="Hoja2" sheetId="6" r:id="rId6" state="hidden"/>
    <sheet name="Hoja1" sheetId="7" r:id="rId7" state="hidden"/>
    <sheet name="FECHAS" sheetId="8" r:id="rId8" state="hidden"/>
  </sheets>
  <definedNames>
    <definedName name="_xlnm._FilterDatabase" localSheetId="7" hidden="1">'FECHAS'!$A$1:$O$371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"/>
  <sheetViews>
    <sheetView workbookViewId="0" rightToLeft="0"/>
  </sheetViews>
  <sheetData>
    <row r="1">
      <c r="A1" t="str">
        <v>MARCA</v>
      </c>
      <c r="B1" t="str">
        <v>MODELO</v>
      </c>
      <c r="C1" t="str">
        <v>SERIAL</v>
      </c>
      <c r="D1" t="str">
        <v>PLACA</v>
      </c>
      <c r="E1" t="str">
        <v>ID SEDE</v>
      </c>
      <c r="F1" t="str">
        <v>NOMBRE DE LA SEDE</v>
      </c>
      <c r="G1" t="str">
        <v>CIUDAD</v>
      </c>
      <c r="H1" t="str">
        <v>UBICACIÓN</v>
      </c>
      <c r="I1" t="str">
        <v>NOMBRE DE LA OFICINA O AMBIENTE</v>
      </c>
      <c r="J1" t="str">
        <v>PISO</v>
      </c>
      <c r="K1" t="str">
        <v>TIPO DE USUARIO</v>
      </c>
      <c r="L1" t="str">
        <v>TIPO DE RED</v>
      </c>
      <c r="M1" t="str">
        <v>CAMBIO DE PARTE</v>
      </c>
      <c r="N1" t="str">
        <v>CAMBIO DE PARTE 2</v>
      </c>
      <c r="O1" t="str">
        <v># DE CASO PARA REPUESTO</v>
      </c>
      <c r="P1" t="str">
        <v>MAC</v>
      </c>
      <c r="Q1" t="str">
        <v>FECHA ULTIMO MANTENIMIENTO</v>
      </c>
      <c r="R1" t="str">
        <v>FECHA IMPACTO MAQUINA</v>
      </c>
      <c r="S1" t="str">
        <v>ASS</v>
      </c>
      <c r="T1" t="str">
        <v>Estado - Observaciones</v>
      </c>
    </row>
    <row r="2">
      <c r="A2" t="str">
        <v>OKI</v>
      </c>
      <c r="B2" t="str">
        <v>MPS5502MB</v>
      </c>
      <c r="C2" t="str">
        <v>AK66038096B0</v>
      </c>
      <c r="D2">
        <v>930714904</v>
      </c>
      <c r="E2">
        <v>374</v>
      </c>
      <c r="F2" t="str">
        <v>La Pamba</v>
      </c>
      <c r="G2" t="str">
        <v>Popayan</v>
      </c>
      <c r="H2" t="str">
        <v>COORDINACIÓN MISIONAL</v>
      </c>
      <c r="I2" t="str">
        <v/>
      </c>
      <c r="J2">
        <v>1</v>
      </c>
      <c r="K2" t="str">
        <v>ADMINISTRATIVO</v>
      </c>
      <c r="L2" t="str">
        <v>CABLEADA</v>
      </c>
      <c r="M2" t="str">
        <v>N/A</v>
      </c>
      <c r="N2" t="str">
        <v>N/A</v>
      </c>
      <c r="O2" t="str">
        <v>N/A</v>
      </c>
    </row>
    <row r="3">
      <c r="A3" t="str">
        <v>OKI</v>
      </c>
      <c r="B3" t="str">
        <v>MPS5502MB</v>
      </c>
      <c r="C3" t="str">
        <v>AK66038098B0</v>
      </c>
      <c r="D3">
        <v>930714905</v>
      </c>
      <c r="E3">
        <v>374</v>
      </c>
      <c r="F3" t="str">
        <v>La Pamba</v>
      </c>
      <c r="G3" t="str">
        <v>Popayan</v>
      </c>
      <c r="H3" t="str">
        <v>ETAPA PRACTICA Y ENI</v>
      </c>
      <c r="I3" t="str">
        <v/>
      </c>
      <c r="J3">
        <v>1</v>
      </c>
      <c r="K3" t="str">
        <v>ADMINISTRATIVO</v>
      </c>
      <c r="L3" t="str">
        <v>CABLEADA</v>
      </c>
      <c r="M3" t="str">
        <v>N/A</v>
      </c>
      <c r="N3" t="str">
        <v>N/A</v>
      </c>
      <c r="O3" t="str">
        <v>N/A</v>
      </c>
    </row>
    <row r="4">
      <c r="A4" t="str">
        <v>KIOSERA</v>
      </c>
      <c r="B4" t="str">
        <v>MA600IFX</v>
      </c>
      <c r="C4" t="str">
        <v>WDB4200966*</v>
      </c>
      <c r="D4">
        <v>93071017167</v>
      </c>
      <c r="E4">
        <v>374</v>
      </c>
      <c r="F4" t="str">
        <v>La Pamba</v>
      </c>
      <c r="G4" t="str">
        <v>Popayan</v>
      </c>
      <c r="H4" t="str">
        <v>PROGRAMACION PROGRAMAS ESPECIALES</v>
      </c>
      <c r="I4" t="str">
        <v/>
      </c>
      <c r="J4">
        <v>1</v>
      </c>
      <c r="K4" t="str">
        <v>ADMINISTRATIVO</v>
      </c>
      <c r="L4" t="str">
        <v>CABLEADA</v>
      </c>
      <c r="M4" t="str">
        <v>N/A</v>
      </c>
      <c r="N4" t="str">
        <v>N/A</v>
      </c>
      <c r="O4" t="str">
        <v>N/A</v>
      </c>
    </row>
    <row r="5">
      <c r="A5" t="str">
        <v>OKI</v>
      </c>
      <c r="B5" t="str">
        <v>MPS5502MB</v>
      </c>
      <c r="C5" t="str">
        <v>SAK68024234B0</v>
      </c>
      <c r="D5">
        <v>930714908</v>
      </c>
      <c r="E5">
        <v>374</v>
      </c>
      <c r="F5" t="str">
        <v>La Pamba</v>
      </c>
      <c r="G5" t="str">
        <v>Popayan</v>
      </c>
      <c r="H5" t="str">
        <v>Administracion Educativa</v>
      </c>
      <c r="I5" t="str">
        <v/>
      </c>
      <c r="J5">
        <v>1</v>
      </c>
      <c r="K5" t="str">
        <v>ADMINISTRATIVO</v>
      </c>
      <c r="L5" t="str">
        <v>CABLEADA</v>
      </c>
      <c r="M5" t="str">
        <v>N/A</v>
      </c>
      <c r="N5" t="str">
        <v>N/A</v>
      </c>
      <c r="O5" t="str">
        <v>N/A</v>
      </c>
      <c r="R5">
        <v>45577</v>
      </c>
    </row>
    <row r="6">
      <c r="A6" t="str">
        <v>KIOSERA</v>
      </c>
      <c r="B6" t="str">
        <v>MA600IFX</v>
      </c>
      <c r="D6">
        <v>93071017168</v>
      </c>
      <c r="E6">
        <v>68</v>
      </c>
      <c r="F6" t="str">
        <v>CCYS</v>
      </c>
      <c r="G6" t="str">
        <v>Popayan</v>
      </c>
      <c r="H6" t="str">
        <v>SUBDIRECCION</v>
      </c>
      <c r="I6" t="str">
        <v/>
      </c>
      <c r="J6">
        <v>2</v>
      </c>
      <c r="K6" t="str">
        <v>ADMINISTRATIVO</v>
      </c>
      <c r="L6" t="str">
        <v>CABLEADA</v>
      </c>
      <c r="M6" t="str">
        <v>N/A</v>
      </c>
      <c r="N6" t="str">
        <v>N/A</v>
      </c>
      <c r="O6" t="str">
        <v>N/A</v>
      </c>
      <c r="R6">
        <v>45577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</row>
  </sheetData>
  <ignoredErrors>
    <ignoredError numberStoredAsText="1" sqref="A1:T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582"/>
  <sheetViews>
    <sheetView workbookViewId="0" rightToLeft="0"/>
  </sheetViews>
  <sheetData>
    <row r="1">
      <c r="A1" t="str">
        <v>HOSTNAME</v>
      </c>
      <c r="B1" t="str">
        <v>TIPO</v>
      </c>
      <c r="C1" t="str">
        <v>PROPIETARIO</v>
      </c>
      <c r="D1" t="str">
        <v>MARCA</v>
      </c>
      <c r="E1" t="str">
        <v>MODELO</v>
      </c>
      <c r="F1" t="str">
        <v>SERIAL</v>
      </c>
      <c r="G1" t="str">
        <v>PLACA</v>
      </c>
      <c r="H1" t="str">
        <v>ID SEDE</v>
      </c>
      <c r="I1" t="str">
        <v>NOMBRE DE LA SEDE</v>
      </c>
      <c r="J1" t="str">
        <v>CIUDAD</v>
      </c>
      <c r="K1" t="str">
        <v>UBICACIÓN</v>
      </c>
      <c r="L1" t="str">
        <v>NOMBRE DE LA OFICINA O AMBIENTE</v>
      </c>
      <c r="M1" t="str">
        <v>PISO</v>
      </c>
      <c r="N1" t="str">
        <v>NOMBRE DEL USUARIO</v>
      </c>
      <c r="O1" t="str">
        <v>TIPO DE USUARIO</v>
      </c>
      <c r="P1" t="str">
        <v>TIPO DE RED</v>
      </c>
      <c r="Q1" t="str">
        <v>PROCESADOR</v>
      </c>
      <c r="R1" t="str">
        <v>TIPO DISCO 1</v>
      </c>
      <c r="S1" t="str">
        <v>TAMAÑO DISCO 1</v>
      </c>
      <c r="T1" t="str">
        <v>TIPO DISCO 2</v>
      </c>
      <c r="U1" t="str">
        <v>TAMAÑO DISCO 2</v>
      </c>
      <c r="V1" t="str">
        <v>TIPO MEMORIA</v>
      </c>
      <c r="W1" t="str">
        <v>TAMAÑO MEMORIA</v>
      </c>
      <c r="X1" t="str">
        <v>TARJETA DE VIDEO</v>
      </c>
      <c r="Y1" t="str">
        <v>CAMBIO DE PARTE</v>
      </c>
      <c r="Z1" t="str">
        <v>CAMBIO DE PARTE 2</v>
      </c>
      <c r="AA1" t="str">
        <v># DE CASO PARA REPUESTO</v>
      </c>
      <c r="AB1" t="str">
        <v>PLACA MONITOR</v>
      </c>
      <c r="AC1" t="str">
        <v xml:space="preserve">PLACA MOUSE </v>
      </c>
      <c r="AD1" t="str">
        <v>PLACA TECLADO</v>
      </c>
      <c r="AE1" t="str">
        <v>PLACA CARGADOR</v>
      </c>
      <c r="AF1" t="str">
        <v>MAC:RED CABLEADA</v>
      </c>
      <c r="AG1" t="str">
        <v>MAC RED INALAMBRICA</v>
      </c>
      <c r="AH1" t="str">
        <v>SISTEMA OPERATIVO</v>
      </c>
      <c r="AI1" t="str">
        <v>VERSION DEL S.O.</v>
      </c>
      <c r="AJ1" t="str">
        <v>ANTIVIRUS</v>
      </c>
      <c r="AK1" t="str">
        <v>OFFICE</v>
      </c>
      <c r="AL1" t="str">
        <v>ADOBE</v>
      </c>
      <c r="AM1" t="str">
        <v>LAPS</v>
      </c>
      <c r="AN1" t="str">
        <v>7ZIP</v>
      </c>
      <c r="AO1" t="str">
        <v>VPN</v>
      </c>
      <c r="AP1" t="str">
        <v>JAMF</v>
      </c>
      <c r="AQ1" t="str">
        <v xml:space="preserve">OTRO SOFTWARE </v>
      </c>
      <c r="AR1" t="str">
        <v>ESTADO DEL EQUIPO</v>
      </c>
      <c r="AS1" t="str">
        <v>TIENE DOMINIO</v>
      </c>
      <c r="AT1" t="str">
        <v>EN QUE DOMINIO SE ENCUENTRA</v>
      </c>
      <c r="AU1" t="str">
        <v>CONTRASEÑA BIOS</v>
      </c>
      <c r="AV1" t="str">
        <v>FECHA ULTIMO MANTENIMIENTO</v>
      </c>
      <c r="AW1" t="str">
        <v>FECHA IMPACTO MAQUINA</v>
      </c>
      <c r="AX1" t="str">
        <v>ASS</v>
      </c>
      <c r="AY1" t="str">
        <v>Observaciones</v>
      </c>
    </row>
  </sheetData>
  <pageMargins left="0.7" right="0.7" top="0.75" bottom="0.75" header="0" footer="0"/>
  <ignoredErrors>
    <ignoredError numberStoredAsText="1" sqref="A1:AY5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Y736"/>
  <sheetViews>
    <sheetView workbookViewId="0" rightToLeft="0"/>
  </sheetViews>
  <sheetData>
    <row r="1">
      <c r="A1" t="str">
        <v>HOSTNAME</v>
      </c>
      <c r="B1" t="str">
        <v>TIPO</v>
      </c>
      <c r="C1" t="str">
        <v>PROPIETARIO</v>
      </c>
      <c r="D1" t="str">
        <v>MARCA</v>
      </c>
      <c r="E1" t="str">
        <v>MODELO</v>
      </c>
      <c r="F1" t="str">
        <v>SERIAL</v>
      </c>
      <c r="G1" t="str">
        <v>PLACA</v>
      </c>
      <c r="H1" t="str">
        <v>ID SEDE</v>
      </c>
      <c r="I1" t="str">
        <v>NOMBRE DE LA SEDE</v>
      </c>
      <c r="J1" t="str">
        <v>CIUDAD</v>
      </c>
      <c r="K1" t="str">
        <v>UBICACIÓN</v>
      </c>
      <c r="L1" t="str">
        <v>NOMBRE DE LA OFICINA O AMBIENTE</v>
      </c>
      <c r="M1" t="str">
        <v>PISO</v>
      </c>
      <c r="N1" t="str">
        <v>NOMBRE DEL USUARIO</v>
      </c>
      <c r="O1" t="str">
        <v>TIPO DE USUARIO</v>
      </c>
      <c r="P1" t="str">
        <v>TIPO DE RED</v>
      </c>
      <c r="Q1" t="str">
        <v>PROCESADOR</v>
      </c>
      <c r="R1" t="str">
        <v>TIPO DISCO 1</v>
      </c>
      <c r="S1" t="str">
        <v>TAMAÑO DISCO 1</v>
      </c>
      <c r="T1" t="str">
        <v>TIPO DISCO 2</v>
      </c>
      <c r="U1" t="str">
        <v>TAMAÑO DISCO 2</v>
      </c>
      <c r="V1" t="str">
        <v>TIPO MEMORIA</v>
      </c>
      <c r="W1" t="str">
        <v>TAMAÑO MEMORIA</v>
      </c>
      <c r="X1" t="str">
        <v>TARJETA DE VIDEO</v>
      </c>
      <c r="Y1" t="str">
        <v>CAMBIO DE PARTE</v>
      </c>
      <c r="Z1" t="str">
        <v>CAMBIO DE PARTE 2</v>
      </c>
      <c r="AA1" t="str">
        <v># DE CASO PARA REPUESTO</v>
      </c>
      <c r="AB1" t="str">
        <v>PLACA MONITOR</v>
      </c>
      <c r="AC1" t="str">
        <v xml:space="preserve">PLACA MOUSE </v>
      </c>
      <c r="AD1" t="str">
        <v>PLACA TECLADO</v>
      </c>
      <c r="AE1" t="str">
        <v>PLACA CARGADOR</v>
      </c>
      <c r="AF1" t="str">
        <v>MAC:RED CABLEADA</v>
      </c>
      <c r="AG1" t="str">
        <v>MAC RED INALAMBRICA</v>
      </c>
      <c r="AH1" t="str">
        <v>SISTEMA OPERATIVO</v>
      </c>
      <c r="AI1" t="str">
        <v>VERSION DEL S.O.</v>
      </c>
      <c r="AJ1" t="str">
        <v>ANTIVIRUS</v>
      </c>
      <c r="AK1" t="str">
        <v>OFFICE</v>
      </c>
      <c r="AL1" t="str">
        <v>ADOBE</v>
      </c>
      <c r="AM1" t="str">
        <v>LAPS</v>
      </c>
      <c r="AN1" t="str">
        <v>7ZIP</v>
      </c>
      <c r="AO1" t="str">
        <v>VPN</v>
      </c>
      <c r="AP1" t="str">
        <v>JAMF</v>
      </c>
      <c r="AQ1" t="str">
        <v xml:space="preserve">OTRO SOFTWARE </v>
      </c>
      <c r="AR1" t="str">
        <v>ESTADO DEL EQUIPO</v>
      </c>
      <c r="AS1" t="str">
        <v>TIENE DOMINIO</v>
      </c>
      <c r="AT1" t="str">
        <v>EN QUE DOMINIO SE ENCUENTRA</v>
      </c>
      <c r="AU1" t="str">
        <v>CONTRASEÑA BIOS</v>
      </c>
      <c r="AV1" t="str">
        <v>FECHA ULTIMO MANTENIMIENTO</v>
      </c>
      <c r="AW1" t="str">
        <v>FECHA IMPACTO MAQUINA</v>
      </c>
      <c r="AX1" t="str">
        <v>ASS</v>
      </c>
      <c r="AY1" t="str">
        <v>Observaciones</v>
      </c>
    </row>
    <row r="2">
      <c r="A2" t="str">
        <v>DESKTOP-J68SM0D</v>
      </c>
      <c r="B2" t="str">
        <v>DESKTOP</v>
      </c>
      <c r="C2" t="str">
        <v>TELEFONICA</v>
      </c>
      <c r="D2" t="str">
        <v>LENOVO</v>
      </c>
      <c r="E2" t="str">
        <v>10VUS1SK00</v>
      </c>
      <c r="F2" t="str">
        <v>MJ0A9TVP</v>
      </c>
      <c r="G2">
        <v>555</v>
      </c>
      <c r="H2">
        <v>68</v>
      </c>
      <c r="I2" t="str">
        <v>CCYS</v>
      </c>
      <c r="J2" t="str">
        <v>POPAYAN</v>
      </c>
      <c r="K2" t="str">
        <v>OFICINA</v>
      </c>
      <c r="M2">
        <v>3</v>
      </c>
      <c r="O2" t="str">
        <v>CONTRATISTA</v>
      </c>
      <c r="P2" t="str">
        <v>FUNCIONARIO</v>
      </c>
      <c r="Q2" t="str">
        <v>AMD RYZEN 5 PRO 2400G WITH RADEON VEGA GRAPHICS</v>
      </c>
      <c r="R2" t="str">
        <v>M2</v>
      </c>
      <c r="S2" t="str">
        <v>256 GB</v>
      </c>
      <c r="T2" t="str">
        <v>N/A</v>
      </c>
      <c r="U2" t="str">
        <v>N/A</v>
      </c>
      <c r="V2" t="str">
        <v>DDR4</v>
      </c>
      <c r="W2" t="str">
        <v>8 GB</v>
      </c>
      <c r="X2" t="str">
        <v>AMD RADEON(TM) VEGA 11 GRAPHICS</v>
      </c>
      <c r="Y2" t="str">
        <v>N/A</v>
      </c>
      <c r="Z2" t="str">
        <v>N/A</v>
      </c>
      <c r="AA2" t="str">
        <v>N/A</v>
      </c>
      <c r="AB2" t="str">
        <v>N/A</v>
      </c>
      <c r="AD2" t="str">
        <v>N/A</v>
      </c>
      <c r="AF2" t="str">
        <v>00:D8:61:AE:C7:3B</v>
      </c>
      <c r="AG2" t="str">
        <v>10:63:C8:4D:B6:45</v>
      </c>
      <c r="AH2" t="str">
        <v>WINDOWS 11</v>
      </c>
      <c r="AI2" t="str">
        <v>25H2</v>
      </c>
      <c r="AJ2" t="str">
        <v>SI</v>
      </c>
      <c r="AK2" t="str">
        <v>SI</v>
      </c>
      <c r="AL2" t="str">
        <v>SI</v>
      </c>
      <c r="AM2" t="str">
        <v>NO</v>
      </c>
      <c r="AN2" t="str">
        <v>SI</v>
      </c>
      <c r="AO2" t="str">
        <v>NO</v>
      </c>
      <c r="AP2" t="str">
        <v>NO</v>
      </c>
      <c r="AR2" t="str">
        <v>OPERATIVO</v>
      </c>
      <c r="AS2" t="str">
        <v>NO</v>
      </c>
      <c r="AT2" t="str">
        <v>SENA.RED</v>
      </c>
      <c r="AU2" t="str">
        <v>NO</v>
      </c>
      <c r="AV2">
        <v>46146</v>
      </c>
      <c r="AW2">
        <v>46146</v>
      </c>
      <c r="AX2" t="str">
        <v>HARRY LEHANDRO PEDRAZA ARROYO</v>
      </c>
    </row>
  </sheetData>
  <pageMargins left="0.7" right="0.7" top="0.75" bottom="0.75" header="0" footer="0"/>
  <ignoredErrors>
    <ignoredError numberStoredAsText="1" sqref="A1:AY7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999"/>
  <sheetViews>
    <sheetView workbookViewId="0" rightToLeft="0"/>
  </sheetViews>
  <sheetData>
    <row r="1">
      <c r="A1" t="str">
        <v>HOSTNAME</v>
      </c>
      <c r="B1" t="str">
        <v>TIPO</v>
      </c>
      <c r="C1" t="str">
        <v>PROPIETARIO</v>
      </c>
      <c r="D1" t="str">
        <v>MARCA</v>
      </c>
      <c r="E1" t="str">
        <v>MODELO</v>
      </c>
      <c r="F1" t="str">
        <v>SERIAL</v>
      </c>
      <c r="G1" t="str">
        <v>ID</v>
      </c>
      <c r="H1" t="str">
        <v>NOMBRE DE LA SEDE</v>
      </c>
      <c r="I1" t="str">
        <v>CIUDAD</v>
      </c>
      <c r="J1" t="str">
        <v>UBICACIÓN</v>
      </c>
      <c r="K1" t="str">
        <v>PISO</v>
      </c>
      <c r="L1" t="str">
        <v>NOMBRE DEL USUARIO</v>
      </c>
      <c r="M1" t="str">
        <v>TIPO DE USUARIO</v>
      </c>
      <c r="N1" t="str">
        <v>TIPO DE RED</v>
      </c>
      <c r="O1" t="str">
        <v>PROCESADOR</v>
      </c>
      <c r="P1" t="str">
        <v>TIPO DISCO 1</v>
      </c>
      <c r="Q1" t="str">
        <v>TAMAÑO DISCO 1</v>
      </c>
      <c r="R1" t="str">
        <v>TIPO DISCO 2</v>
      </c>
      <c r="S1" t="str">
        <v>TAMAÑO DISCO 2</v>
      </c>
      <c r="T1" t="str">
        <v>TIPO MEMORIA</v>
      </c>
      <c r="U1" t="str">
        <v>TAMAÑO MEMORIA</v>
      </c>
      <c r="V1" t="str">
        <v>TARJETA DE VIDEO</v>
      </c>
      <c r="W1" t="str">
        <v>PLACA MONITOR</v>
      </c>
      <c r="X1" t="str">
        <v xml:space="preserve">PLACA MOUSE </v>
      </c>
      <c r="Y1" t="str">
        <v>PLACA TECLADO</v>
      </c>
      <c r="Z1" t="str">
        <v>PLACA CARGADOR</v>
      </c>
      <c r="AA1" t="str">
        <v>MAC:RED CABLEADA</v>
      </c>
      <c r="AB1" t="str">
        <v>MAC RED INALAMBRICA</v>
      </c>
      <c r="AC1" t="str">
        <v>SISTEMA OPERATIVO</v>
      </c>
      <c r="AD1" t="str">
        <v>VERSION DEL S.O.</v>
      </c>
      <c r="AE1" t="str">
        <v>ANTIVIRUS</v>
      </c>
      <c r="AF1" t="str">
        <v>ESTADO DEL EQUIPO</v>
      </c>
      <c r="AG1" t="str">
        <v>TIENE DOMINIO</v>
      </c>
      <c r="AH1" t="str">
        <v>EN QUE DOMINIO SE ENCUENTRA</v>
      </c>
      <c r="AI1" t="str">
        <v>CONTRASEÑA BIOS</v>
      </c>
      <c r="AJ1" t="str">
        <v>FECHA ULTIMO MANTENIMIENTO</v>
      </c>
      <c r="AK1" t="str">
        <v>FECHA IMPACTO MAQUINA</v>
      </c>
      <c r="AL1" t="str">
        <v>ASS</v>
      </c>
      <c r="AM1" t="str">
        <v>Observaciones</v>
      </c>
    </row>
    <row r="2">
      <c r="B2" t="str">
        <v>DESKTOP</v>
      </c>
      <c r="C2" t="str">
        <v>SENA</v>
      </c>
      <c r="D2" t="str">
        <v>LENOVO</v>
      </c>
      <c r="G2">
        <v>65</v>
      </c>
      <c r="H2" t="str">
        <v>REGIONAL</v>
      </c>
      <c r="I2" t="str">
        <v>POPAYAN</v>
      </c>
      <c r="J2" t="str">
        <v>OFICINA</v>
      </c>
      <c r="K2">
        <v>1</v>
      </c>
      <c r="M2" t="str">
        <v>ADMINISTRATIVO</v>
      </c>
      <c r="N2" t="str">
        <v>FUNCIONARIO</v>
      </c>
      <c r="P2" t="str">
        <v>HDD</v>
      </c>
      <c r="Q2" t="str">
        <v>120 GB</v>
      </c>
      <c r="R2" t="str">
        <v>HDD</v>
      </c>
      <c r="S2" t="str">
        <v>120 GB</v>
      </c>
      <c r="T2" t="str">
        <v>DDR3</v>
      </c>
      <c r="U2" t="str">
        <v>4 GB</v>
      </c>
      <c r="AC2" t="str">
        <v>WINDOWS 10</v>
      </c>
      <c r="AD2" t="str">
        <v>20H2</v>
      </c>
      <c r="AE2" t="str">
        <v>SI</v>
      </c>
      <c r="AF2" t="str">
        <v>OPERATIVO</v>
      </c>
      <c r="AG2" t="str">
        <v>SI</v>
      </c>
      <c r="AH2" t="str">
        <v>SENA.RED</v>
      </c>
      <c r="AL2" t="str">
        <v>ANDRES SEBASTIAN BRAVO PALACIOS</v>
      </c>
    </row>
    <row r="3">
      <c r="B3" t="str">
        <v>PORTATIL</v>
      </c>
      <c r="C3" t="str">
        <v>TELEFONICA</v>
      </c>
      <c r="D3" t="str">
        <v>DELL</v>
      </c>
      <c r="G3">
        <v>68</v>
      </c>
      <c r="H3" t="str">
        <v>CCYS</v>
      </c>
      <c r="I3" t="str">
        <v>GUAPI</v>
      </c>
      <c r="J3" t="str">
        <v>AMBIENTE</v>
      </c>
      <c r="K3">
        <v>2</v>
      </c>
      <c r="M3" t="str">
        <v>CONTRATISTA</v>
      </c>
      <c r="N3" t="str">
        <v>FORMACION</v>
      </c>
      <c r="P3" t="str">
        <v>SSD</v>
      </c>
      <c r="Q3" t="str">
        <v>256 GB</v>
      </c>
      <c r="R3" t="str">
        <v>SSD</v>
      </c>
      <c r="S3" t="str">
        <v>256 GB</v>
      </c>
      <c r="T3" t="str">
        <v>DDR4</v>
      </c>
      <c r="U3" t="str">
        <v>8 GB</v>
      </c>
      <c r="AC3" t="str">
        <v>WINDOWS 11</v>
      </c>
      <c r="AD3" t="str">
        <v>21H1</v>
      </c>
      <c r="AE3" t="str">
        <v xml:space="preserve"> NO</v>
      </c>
      <c r="AF3" t="str">
        <v>PRESENTA FALLA</v>
      </c>
      <c r="AG3" t="str">
        <v>NO</v>
      </c>
      <c r="AH3" t="str">
        <v>FORMACION.RED</v>
      </c>
      <c r="AL3" t="str">
        <v>JULIAN ANDRES NOGUERA BURGOS</v>
      </c>
    </row>
    <row r="4">
      <c r="B4" t="str">
        <v>TODO EN UNO</v>
      </c>
      <c r="D4" t="str">
        <v>HP</v>
      </c>
      <c r="G4">
        <v>69</v>
      </c>
      <c r="H4" t="str">
        <v>GUAPI</v>
      </c>
      <c r="K4">
        <v>3</v>
      </c>
      <c r="M4" t="str">
        <v>INSTRUCTOR</v>
      </c>
      <c r="P4" t="str">
        <v>M2</v>
      </c>
      <c r="Q4" t="str">
        <v>512 GB</v>
      </c>
      <c r="R4" t="str">
        <v>M2</v>
      </c>
      <c r="S4" t="str">
        <v>512 GB</v>
      </c>
      <c r="T4" t="str">
        <v>DDR5</v>
      </c>
      <c r="U4" t="str">
        <v>16 GB</v>
      </c>
      <c r="AC4" t="str">
        <v>MAC OS MONTEREY</v>
      </c>
      <c r="AD4" t="str">
        <v>21H2</v>
      </c>
      <c r="AE4" t="str">
        <v>N/A</v>
      </c>
      <c r="AF4" t="str">
        <v>DAÑADO</v>
      </c>
      <c r="AG4" t="str">
        <v>N/A</v>
      </c>
      <c r="AH4" t="str">
        <v>N/A</v>
      </c>
      <c r="AL4" t="str">
        <v>LEONARDO ANDRES GUITIERREZ NARVAEZ</v>
      </c>
    </row>
    <row r="5">
      <c r="B5" t="str">
        <v>iMAC</v>
      </c>
      <c r="D5" t="str">
        <v>ASUS</v>
      </c>
      <c r="G5">
        <v>300</v>
      </c>
      <c r="H5" t="str">
        <v>TECNOPARQUE</v>
      </c>
      <c r="M5" t="str">
        <v>APRENDIZ</v>
      </c>
      <c r="Q5" t="str">
        <v>1 TB</v>
      </c>
      <c r="R5" t="str">
        <v>N/A</v>
      </c>
      <c r="S5" t="str">
        <v>1 TB</v>
      </c>
      <c r="U5" t="str">
        <v>32 GB</v>
      </c>
      <c r="AC5" t="str">
        <v>MAC OS VENTURA</v>
      </c>
      <c r="AD5" t="str">
        <v>22H2</v>
      </c>
      <c r="AL5" t="str">
        <v>HARRY LEHANDRO PEDRAZA ARROYO</v>
      </c>
    </row>
    <row r="6">
      <c r="D6" t="str">
        <v>JANUS</v>
      </c>
      <c r="G6">
        <v>319</v>
      </c>
      <c r="H6" t="str">
        <v>SNFT</v>
      </c>
      <c r="S6" t="str">
        <v>N/A</v>
      </c>
      <c r="U6" t="str">
        <v>64 GB</v>
      </c>
      <c r="AD6" t="str">
        <v>23H2</v>
      </c>
      <c r="AL6" t="str">
        <v>LUIS FELIPE FLOREZ DORADO</v>
      </c>
    </row>
    <row r="7">
      <c r="D7" t="str">
        <v>ACER</v>
      </c>
      <c r="G7">
        <v>320</v>
      </c>
      <c r="H7" t="str">
        <v>ARCHIVO CENTRAL</v>
      </c>
      <c r="AD7" t="str">
        <v>25H2</v>
      </c>
      <c r="AL7" t="str">
        <v>YESID ANTONIO BRAVO RAMIREZ</v>
      </c>
    </row>
    <row r="8">
      <c r="D8" t="str">
        <v>APPLE</v>
      </c>
      <c r="G8">
        <v>321</v>
      </c>
      <c r="H8" t="str">
        <v>SAN JOSE</v>
      </c>
      <c r="AL8" t="str">
        <v>JHON ALEXANDER CORTES PAZ</v>
      </c>
    </row>
    <row r="9">
      <c r="G9">
        <v>374</v>
      </c>
      <c r="H9" t="str">
        <v>LA PAMBA</v>
      </c>
      <c r="AL9" t="str">
        <v xml:space="preserve">JESUS ALEXIS VEGA SANCHEZ </v>
      </c>
    </row>
    <row r="10">
      <c r="G10">
        <v>389</v>
      </c>
      <c r="H10" t="str">
        <v>CIUDAD JARDIN</v>
      </c>
    </row>
  </sheetData>
  <pageMargins left="0.7" right="0.7" top="0.75" bottom="0.75" header="0" footer="0"/>
  <ignoredErrors>
    <ignoredError numberStoredAsText="1" sqref="A1:AM9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999"/>
  <sheetViews>
    <sheetView workbookViewId="0" rightToLeft="0"/>
  </sheetViews>
  <sheetData>
    <row r="1">
      <c r="A1" t="str">
        <v>Placas</v>
      </c>
      <c r="B1" t="str">
        <v>Registro</v>
      </c>
      <c r="C1" t="str">
        <v>Fecha</v>
      </c>
      <c r="D1" t="str">
        <v>Registro</v>
      </c>
      <c r="E1" t="str">
        <v>Fecha</v>
      </c>
      <c r="F1" t="str">
        <v>Registro</v>
      </c>
      <c r="G1" t="str">
        <v>Fecha</v>
      </c>
      <c r="H1" t="str">
        <v>Registro</v>
      </c>
      <c r="I1" t="str">
        <v>Fecha</v>
      </c>
      <c r="J1" t="str">
        <v>Registro</v>
      </c>
      <c r="K1" t="str">
        <v>Fecha</v>
      </c>
      <c r="L1" t="str">
        <v>Registro</v>
      </c>
      <c r="M1" t="str">
        <v>Fecha</v>
      </c>
      <c r="N1" t="str">
        <v>Registro</v>
      </c>
      <c r="O1" t="str">
        <v>Total registros</v>
      </c>
    </row>
    <row r="2">
      <c r="A2" t="str">
        <v>COLTEL- 033565</v>
      </c>
    </row>
    <row r="3">
      <c r="A3" t="str">
        <v>COLTEL-142029</v>
      </c>
    </row>
    <row r="4">
      <c r="A4" t="str">
        <v>COLTEL-076541</v>
      </c>
    </row>
    <row r="5">
      <c r="A5" t="str">
        <v>COLTEL-139654</v>
      </c>
    </row>
    <row r="6">
      <c r="A6" t="str">
        <v>COLTEL-033565</v>
      </c>
    </row>
    <row r="7">
      <c r="A7" t="str">
        <v>COLTEL-033565</v>
      </c>
    </row>
    <row r="8">
      <c r="A8" t="str">
        <v>COLTEL-139663</v>
      </c>
    </row>
    <row r="9">
      <c r="A9" t="str">
        <v>COLTEL-033675</v>
      </c>
    </row>
    <row r="10">
      <c r="A10" t="str">
        <v>COLTEL-058626</v>
      </c>
    </row>
    <row r="11">
      <c r="A11" t="str">
        <v>COLTEL-033769</v>
      </c>
    </row>
    <row r="12">
      <c r="A12" t="str">
        <v>COLTEL-142053</v>
      </c>
    </row>
    <row r="13">
      <c r="A13" t="str">
        <v>COLTEL-033803</v>
      </c>
    </row>
    <row r="14">
      <c r="A14" t="str">
        <v>COLTEL-091151</v>
      </c>
    </row>
    <row r="15">
      <c r="A15" t="str">
        <v>COLTEL-033777</v>
      </c>
    </row>
    <row r="16">
      <c r="A16" t="str">
        <v>COLTEL-033655</v>
      </c>
    </row>
    <row r="17">
      <c r="A17" t="str">
        <v>COLTEL-033587</v>
      </c>
    </row>
    <row r="18">
      <c r="A18" t="str">
        <v>COLTEL-033762</v>
      </c>
    </row>
    <row r="19">
      <c r="A19" t="str">
        <v>COLTEL-058844</v>
      </c>
    </row>
    <row r="20">
      <c r="A20" t="str">
        <v>COLTEL-059825</v>
      </c>
    </row>
    <row r="21">
      <c r="A21" t="str">
        <v>COLTEL-058623</v>
      </c>
    </row>
    <row r="22">
      <c r="A22" t="str">
        <v>COLTEL-078748</v>
      </c>
    </row>
    <row r="23">
      <c r="A23" t="str">
        <v>COLTEL-033714</v>
      </c>
    </row>
    <row r="24">
      <c r="A24" t="str">
        <v>COLTEL-084331</v>
      </c>
    </row>
    <row r="25">
      <c r="A25" t="str">
        <v>COLTEL-070656</v>
      </c>
    </row>
    <row r="26">
      <c r="A26" t="str">
        <v>COLTEL-078701</v>
      </c>
    </row>
    <row r="27">
      <c r="A27" t="str">
        <v>COLTEL-078553</v>
      </c>
    </row>
    <row r="28">
      <c r="A28" t="str">
        <v>COLTEL-139173</v>
      </c>
    </row>
    <row r="29">
      <c r="A29" t="str">
        <v>COLTEL-139169</v>
      </c>
    </row>
    <row r="30">
      <c r="A30" t="str">
        <v>COLTEL084334</v>
      </c>
    </row>
    <row r="31">
      <c r="A31" t="str">
        <v>COLTEL-078577</v>
      </c>
    </row>
    <row r="32">
      <c r="A32" t="str">
        <v>COLTEL-078513</v>
      </c>
    </row>
    <row r="33">
      <c r="A33" t="str">
        <v>COLTEL-071159</v>
      </c>
    </row>
    <row r="34">
      <c r="A34" t="str">
        <v>PENDIENTE</v>
      </c>
    </row>
    <row r="35">
      <c r="A35" t="str">
        <v>COLTEL-081411</v>
      </c>
    </row>
    <row r="36">
      <c r="A36" t="str">
        <v>COLTEL-142039</v>
      </c>
    </row>
    <row r="37">
      <c r="A37" t="str">
        <v>COLTEL-033775</v>
      </c>
    </row>
    <row r="38">
      <c r="A38" t="str">
        <v>COLTEL-139651</v>
      </c>
    </row>
    <row r="39">
      <c r="A39" t="str">
        <v>COLTEL-081272</v>
      </c>
    </row>
    <row r="40">
      <c r="A40" t="str">
        <v>COLTEL-033577</v>
      </c>
    </row>
    <row r="41">
      <c r="A41" t="str">
        <v>COLTEL-071157</v>
      </c>
    </row>
    <row r="42">
      <c r="A42" t="str">
        <v>COLTEL-056808</v>
      </c>
    </row>
    <row r="43">
      <c r="A43" t="str">
        <v>COLTEL-033254</v>
      </c>
    </row>
    <row r="44">
      <c r="A44" t="str">
        <v>COLTEL-078571</v>
      </c>
    </row>
    <row r="45">
      <c r="A45" t="str">
        <v>COLTEL-033520</v>
      </c>
    </row>
    <row r="46">
      <c r="A46" t="str">
        <v>COLTEL-078565</v>
      </c>
    </row>
    <row r="47">
      <c r="A47" t="str">
        <v>COLTEL-076841</v>
      </c>
    </row>
    <row r="48">
      <c r="A48" t="str">
        <v>COLTEL-033081</v>
      </c>
    </row>
    <row r="49">
      <c r="A49" t="str">
        <v>COLTEL-033755</v>
      </c>
    </row>
    <row r="50">
      <c r="A50" t="str">
        <v>COLTEL-058627</v>
      </c>
    </row>
    <row r="51">
      <c r="A51" t="str">
        <v>COLTEL-091163</v>
      </c>
    </row>
    <row r="52">
      <c r="A52" t="str">
        <v>COLTEL-078763</v>
      </c>
    </row>
    <row r="53">
      <c r="A53" t="str">
        <v>COLTEL-072637</v>
      </c>
    </row>
    <row r="54">
      <c r="A54" t="str">
        <v>COLTEL-059825</v>
      </c>
    </row>
    <row r="55">
      <c r="A55" t="str">
        <v>COLTEL-033248</v>
      </c>
    </row>
    <row r="56">
      <c r="A56" t="str">
        <v>COLTEL-033035</v>
      </c>
    </row>
    <row r="57">
      <c r="A57" t="str">
        <v>COLTEL-033792</v>
      </c>
    </row>
    <row r="58">
      <c r="A58" t="str">
        <v>COLTEL-058761</v>
      </c>
    </row>
    <row r="59">
      <c r="A59" t="str">
        <v>COLTEL-139652</v>
      </c>
    </row>
    <row r="60">
      <c r="A60" t="str">
        <v>COLTEL-058838</v>
      </c>
    </row>
    <row r="61">
      <c r="A61" t="str">
        <v>COLTEL-033589</v>
      </c>
    </row>
    <row r="62">
      <c r="A62" t="str">
        <v>COLTEL-139946</v>
      </c>
    </row>
    <row r="63">
      <c r="A63" t="str">
        <v>COLTEL-058768</v>
      </c>
    </row>
    <row r="64">
      <c r="A64" t="str">
        <v>COLTEL-058632</v>
      </c>
    </row>
    <row r="65">
      <c r="A65" t="str">
        <v>COLTEL-058629</v>
      </c>
    </row>
    <row r="66">
      <c r="A66" t="str">
        <v>COLTEL-033749</v>
      </c>
    </row>
    <row r="67">
      <c r="A67" t="str">
        <v>COLTEL-033731</v>
      </c>
    </row>
    <row r="68">
      <c r="A68" t="str">
        <v>COLTEL-058634</v>
      </c>
    </row>
    <row r="69">
      <c r="A69" t="str">
        <v>COLTEL-033767</v>
      </c>
    </row>
    <row r="70">
      <c r="A70" t="str">
        <v>COLTEL-078593</v>
      </c>
    </row>
    <row r="71">
      <c r="A71" t="str">
        <v>COLTEL-058846</v>
      </c>
    </row>
    <row r="72">
      <c r="A72" t="str">
        <v>COLTEL-084955</v>
      </c>
    </row>
    <row r="73">
      <c r="A73" t="str">
        <v>COLTEL-058846</v>
      </c>
    </row>
    <row r="74">
      <c r="A74" t="str">
        <v>COLTEL-076433</v>
      </c>
    </row>
    <row r="75">
      <c r="A75" t="str">
        <v>COLTEL-058638</v>
      </c>
    </row>
    <row r="76">
      <c r="A76" t="str">
        <v>COLTEL-091219</v>
      </c>
    </row>
    <row r="77">
      <c r="A77" t="str">
        <v>COLTEL-033705</v>
      </c>
    </row>
    <row r="78">
      <c r="A78" t="str">
        <v>COLTEL-142059</v>
      </c>
    </row>
    <row r="79">
      <c r="A79" t="str">
        <v>COLTEL-033611</v>
      </c>
    </row>
    <row r="80">
      <c r="A80" t="str">
        <v>COLTEL-058630</v>
      </c>
    </row>
    <row r="81">
      <c r="A81" t="str">
        <v>COLTEL-078870</v>
      </c>
    </row>
    <row r="82">
      <c r="A82" t="str">
        <v>COLTEL-076939</v>
      </c>
    </row>
    <row r="83">
      <c r="A83" t="str">
        <v>COLTEL-139175</v>
      </c>
    </row>
    <row r="84">
      <c r="A84" t="str">
        <v>COLTEL-088382</v>
      </c>
    </row>
    <row r="85">
      <c r="A85" t="str">
        <v>COLTEL-033042</v>
      </c>
    </row>
    <row r="86">
      <c r="A86" t="str">
        <v>COLTEL-084330</v>
      </c>
    </row>
    <row r="87">
      <c r="A87" t="str">
        <v>COLTEL-071155</v>
      </c>
    </row>
    <row r="88">
      <c r="A88" t="str">
        <v>COLTEL-033434</v>
      </c>
    </row>
    <row r="89">
      <c r="A89" t="str">
        <v>COLTEL-033234</v>
      </c>
    </row>
    <row r="90">
      <c r="A90" t="str">
        <v>COLTEL-139943</v>
      </c>
    </row>
    <row r="91">
      <c r="A91" t="str">
        <v>COLTEL-071153</v>
      </c>
    </row>
    <row r="92">
      <c r="A92" t="str">
        <v>COLTEL-089141</v>
      </c>
    </row>
    <row r="93">
      <c r="A93" t="str">
        <v>COLTEL-139172</v>
      </c>
    </row>
    <row r="94">
      <c r="A94" t="str">
        <v>COLTEL-071151</v>
      </c>
    </row>
    <row r="95">
      <c r="A95" t="str">
        <v>COLTEL-033062</v>
      </c>
    </row>
    <row r="96">
      <c r="A96" t="str">
        <v>COLTEL-085341</v>
      </c>
    </row>
    <row r="97">
      <c r="A97" t="str">
        <v>COLTEL-076849</v>
      </c>
    </row>
    <row r="98">
      <c r="A98" t="str">
        <v>COLTEL-033838</v>
      </c>
    </row>
    <row r="99">
      <c r="A99" t="str">
        <v>COLTEL-033771</v>
      </c>
    </row>
    <row r="100">
      <c r="A100" t="str">
        <v>COLTEL-058842</v>
      </c>
    </row>
    <row r="101">
      <c r="A101" t="str">
        <v>COLTEL-139947</v>
      </c>
    </row>
    <row r="102">
      <c r="A102" t="str">
        <v>COLTE-033501</v>
      </c>
    </row>
    <row r="103">
      <c r="A103" t="str">
        <v>COLTEL-142275</v>
      </c>
    </row>
    <row r="104">
      <c r="A104" t="str">
        <v>COLTEL-058759</v>
      </c>
    </row>
    <row r="105">
      <c r="A105" t="str">
        <v>COLTEL-084332</v>
      </c>
    </row>
    <row r="106">
      <c r="A106" t="str">
        <v>COLTEL-056824</v>
      </c>
    </row>
    <row r="107">
      <c r="A107" t="str">
        <v>COLTEL-033195</v>
      </c>
    </row>
    <row r="108">
      <c r="A108" t="str">
        <v>COLTEL-088379</v>
      </c>
    </row>
    <row r="109">
      <c r="A109" t="str">
        <v>COLTEL-033298</v>
      </c>
    </row>
    <row r="110">
      <c r="A110" t="str">
        <v>COLTEL-078631</v>
      </c>
    </row>
    <row r="111">
      <c r="A111" t="str">
        <v>COLTEL-071152</v>
      </c>
    </row>
    <row r="112">
      <c r="A112" t="str">
        <v>COLTEL-078687</v>
      </c>
    </row>
    <row r="113">
      <c r="A113" t="str">
        <v>COLTEL-078631</v>
      </c>
    </row>
    <row r="114">
      <c r="A114" t="str">
        <v>COLTEL-078649</v>
      </c>
    </row>
    <row r="115">
      <c r="A115" t="str">
        <v>COLTEL-033716</v>
      </c>
    </row>
    <row r="116">
      <c r="A116" t="str">
        <v>COLTEL-056842</v>
      </c>
    </row>
    <row r="117">
      <c r="A117" t="str">
        <v>COLTEL-056844</v>
      </c>
    </row>
    <row r="118">
      <c r="A118" t="str">
        <v>COLTEL-033637</v>
      </c>
    </row>
    <row r="119">
      <c r="A119" t="str">
        <v>COLTEL-033723</v>
      </c>
    </row>
    <row r="120">
      <c r="A120" t="str">
        <v>COLTEL-033723</v>
      </c>
    </row>
    <row r="121">
      <c r="A121" t="str">
        <v>COLTEL-033182</v>
      </c>
    </row>
    <row r="122">
      <c r="A122" t="str">
        <v>COLTEL-139662</v>
      </c>
    </row>
    <row r="123">
      <c r="A123" t="str">
        <v>COLTEL-033141</v>
      </c>
    </row>
    <row r="124">
      <c r="A124" t="str">
        <v>COLTEL-033693</v>
      </c>
    </row>
    <row r="125">
      <c r="A125" t="str">
        <v>COLTEL-033673</v>
      </c>
    </row>
    <row r="126">
      <c r="A126" t="str">
        <v>COLTEL-058764</v>
      </c>
    </row>
    <row r="127">
      <c r="A127" t="str">
        <v>COLTEL-033717</v>
      </c>
    </row>
    <row r="128">
      <c r="A128" t="str">
        <v>COLTEL-033755</v>
      </c>
    </row>
    <row r="129">
      <c r="A129" t="str">
        <v>COLTEL-058627</v>
      </c>
    </row>
    <row r="130">
      <c r="A130" t="str">
        <v>COLTEL-033081</v>
      </c>
    </row>
    <row r="131">
      <c r="A131">
        <v>93071015451</v>
      </c>
    </row>
    <row r="132">
      <c r="A132">
        <v>93071015472</v>
      </c>
    </row>
    <row r="133">
      <c r="A133">
        <v>93071015480</v>
      </c>
    </row>
    <row r="134">
      <c r="A134">
        <v>93071015659</v>
      </c>
    </row>
    <row r="135">
      <c r="A135">
        <v>93071015528</v>
      </c>
    </row>
    <row r="136">
      <c r="A136">
        <v>93071015471</v>
      </c>
    </row>
    <row r="137">
      <c r="A137">
        <v>93071015656</v>
      </c>
    </row>
    <row r="138">
      <c r="A138">
        <v>93071015481</v>
      </c>
    </row>
    <row r="139">
      <c r="A139">
        <v>93071015540</v>
      </c>
    </row>
    <row r="140">
      <c r="A140">
        <v>93071015505</v>
      </c>
    </row>
    <row r="141">
      <c r="A141">
        <v>93071015433</v>
      </c>
    </row>
    <row r="142">
      <c r="A142">
        <v>93071015454</v>
      </c>
    </row>
    <row r="143">
      <c r="A143">
        <v>93071015436</v>
      </c>
    </row>
    <row r="144">
      <c r="A144">
        <v>93071015435</v>
      </c>
    </row>
    <row r="145">
      <c r="A145">
        <v>93071015504</v>
      </c>
    </row>
    <row r="146">
      <c r="A146">
        <v>93071015539</v>
      </c>
    </row>
    <row r="147">
      <c r="A147">
        <v>93071015507</v>
      </c>
    </row>
    <row r="148">
      <c r="A148">
        <v>93071015538</v>
      </c>
    </row>
    <row r="149">
      <c r="A149">
        <v>93071015529</v>
      </c>
    </row>
    <row r="150">
      <c r="A150">
        <v>93071015524</v>
      </c>
    </row>
    <row r="151">
      <c r="A151">
        <v>93071015514</v>
      </c>
    </row>
    <row r="152">
      <c r="A152">
        <v>93071015521</v>
      </c>
    </row>
    <row r="153">
      <c r="A153">
        <v>93071015516</v>
      </c>
    </row>
    <row r="154">
      <c r="A154">
        <v>93071015552</v>
      </c>
    </row>
    <row r="155">
      <c r="A155">
        <v>93071015559</v>
      </c>
    </row>
    <row r="156">
      <c r="A156">
        <v>93071015518</v>
      </c>
    </row>
    <row r="157">
      <c r="A157">
        <v>93071015568</v>
      </c>
    </row>
    <row r="158">
      <c r="A158">
        <v>93071015555</v>
      </c>
    </row>
    <row r="159">
      <c r="A159">
        <v>93071015321</v>
      </c>
    </row>
    <row r="160">
      <c r="A160">
        <v>93071015320</v>
      </c>
    </row>
    <row r="161">
      <c r="A161">
        <v>93071015329</v>
      </c>
    </row>
    <row r="162">
      <c r="A162">
        <v>93071015334</v>
      </c>
    </row>
    <row r="163">
      <c r="A163">
        <v>93071015337</v>
      </c>
    </row>
    <row r="164">
      <c r="A164">
        <v>93071015333</v>
      </c>
    </row>
    <row r="165">
      <c r="A165">
        <v>93071015323</v>
      </c>
    </row>
    <row r="166">
      <c r="A166">
        <v>93071015331</v>
      </c>
    </row>
    <row r="167">
      <c r="A167">
        <v>93071015336</v>
      </c>
    </row>
    <row r="168">
      <c r="A168">
        <v>93071015343</v>
      </c>
    </row>
    <row r="169">
      <c r="A169">
        <v>93071015344</v>
      </c>
    </row>
    <row r="170">
      <c r="A170">
        <v>93071015346</v>
      </c>
    </row>
    <row r="171">
      <c r="A171">
        <v>93071015326</v>
      </c>
    </row>
    <row r="172">
      <c r="A172">
        <v>93071016192</v>
      </c>
    </row>
    <row r="173">
      <c r="A173">
        <v>93071015796</v>
      </c>
    </row>
    <row r="174">
      <c r="A174">
        <v>93071015839</v>
      </c>
    </row>
    <row r="175">
      <c r="A175">
        <v>93071015894</v>
      </c>
    </row>
    <row r="176">
      <c r="A176">
        <v>101001130973</v>
      </c>
    </row>
    <row r="177">
      <c r="A177">
        <v>93071015586</v>
      </c>
    </row>
    <row r="178">
      <c r="A178">
        <v>93071015339</v>
      </c>
    </row>
    <row r="179">
      <c r="A179">
        <v>93071016022</v>
      </c>
    </row>
    <row r="180">
      <c r="A180">
        <v>93071015449</v>
      </c>
    </row>
    <row r="181">
      <c r="A181">
        <v>93071015676</v>
      </c>
    </row>
    <row r="182">
      <c r="A182">
        <v>93071015486</v>
      </c>
    </row>
    <row r="183">
      <c r="A183">
        <v>93071015671</v>
      </c>
    </row>
    <row r="184">
      <c r="A184">
        <v>93071015492</v>
      </c>
    </row>
    <row r="185">
      <c r="A185">
        <v>93071015658</v>
      </c>
    </row>
    <row r="186">
      <c r="A186">
        <v>93071015660</v>
      </c>
    </row>
    <row r="187">
      <c r="A187">
        <v>93071015497</v>
      </c>
    </row>
    <row r="188">
      <c r="A188">
        <v>93071015490</v>
      </c>
    </row>
    <row r="189">
      <c r="A189">
        <v>93071015489</v>
      </c>
    </row>
    <row r="190">
      <c r="A190">
        <v>93071015632</v>
      </c>
    </row>
    <row r="191">
      <c r="A191">
        <v>93071016041</v>
      </c>
    </row>
    <row r="192">
      <c r="A192">
        <v>93071015983</v>
      </c>
    </row>
    <row r="193">
      <c r="A193">
        <v>93071016043</v>
      </c>
    </row>
    <row r="194">
      <c r="A194">
        <v>93071015992</v>
      </c>
    </row>
    <row r="195">
      <c r="A195">
        <v>93071015999</v>
      </c>
    </row>
    <row r="196">
      <c r="A196">
        <v>93071016028</v>
      </c>
    </row>
    <row r="197">
      <c r="A197">
        <v>93071016004</v>
      </c>
    </row>
    <row r="198">
      <c r="A198">
        <v>93071015995</v>
      </c>
    </row>
    <row r="199">
      <c r="A199">
        <v>93071016021</v>
      </c>
    </row>
    <row r="200">
      <c r="A200">
        <v>93071016009</v>
      </c>
    </row>
    <row r="201">
      <c r="A201">
        <v>93071015286</v>
      </c>
    </row>
    <row r="202">
      <c r="A202" t="str">
        <v>COLTEL-081483</v>
      </c>
    </row>
    <row r="203">
      <c r="A203" t="str">
        <v>COLTEL-056854</v>
      </c>
    </row>
    <row r="204">
      <c r="A204">
        <v>9307111278</v>
      </c>
    </row>
    <row r="205">
      <c r="A205">
        <v>9307111283</v>
      </c>
    </row>
    <row r="206">
      <c r="A206">
        <v>9307111281</v>
      </c>
    </row>
    <row r="207">
      <c r="A207">
        <v>930711307</v>
      </c>
    </row>
    <row r="208">
      <c r="A208">
        <v>930711277</v>
      </c>
    </row>
    <row r="209">
      <c r="A209">
        <v>930711279</v>
      </c>
    </row>
    <row r="210">
      <c r="A210">
        <v>930711280</v>
      </c>
    </row>
    <row r="211">
      <c r="A211">
        <v>930711302</v>
      </c>
    </row>
    <row r="212">
      <c r="A212">
        <v>9307111305</v>
      </c>
    </row>
    <row r="213">
      <c r="A213">
        <v>9307111304</v>
      </c>
    </row>
    <row r="214">
      <c r="A214">
        <v>9307111288</v>
      </c>
    </row>
    <row r="215">
      <c r="A215">
        <v>9307111287</v>
      </c>
    </row>
    <row r="216">
      <c r="A216">
        <v>9307111286</v>
      </c>
    </row>
    <row r="217">
      <c r="A217">
        <v>9307111285</v>
      </c>
    </row>
    <row r="218">
      <c r="A218">
        <v>9307111306</v>
      </c>
    </row>
    <row r="219">
      <c r="A219">
        <v>930711303</v>
      </c>
    </row>
    <row r="220">
      <c r="A220">
        <v>930711301</v>
      </c>
    </row>
    <row r="221">
      <c r="A221">
        <v>930711296</v>
      </c>
    </row>
    <row r="222">
      <c r="A222">
        <v>930711295</v>
      </c>
    </row>
    <row r="223">
      <c r="A223">
        <v>930711293</v>
      </c>
    </row>
    <row r="224">
      <c r="A224">
        <v>930711284</v>
      </c>
    </row>
    <row r="225">
      <c r="A225">
        <v>930711260</v>
      </c>
    </row>
    <row r="226">
      <c r="A226">
        <v>930711290</v>
      </c>
    </row>
    <row r="227">
      <c r="A227">
        <v>930711292</v>
      </c>
    </row>
    <row r="228">
      <c r="A228">
        <v>930711291</v>
      </c>
    </row>
    <row r="229">
      <c r="A229">
        <v>930711249</v>
      </c>
    </row>
    <row r="230">
      <c r="A230">
        <v>930711299</v>
      </c>
    </row>
    <row r="231">
      <c r="A231">
        <v>930711289</v>
      </c>
    </row>
    <row r="232">
      <c r="A232">
        <v>930711300</v>
      </c>
    </row>
    <row r="233">
      <c r="A233">
        <v>930711297</v>
      </c>
    </row>
    <row r="234">
      <c r="A234">
        <v>93071017184</v>
      </c>
    </row>
    <row r="235">
      <c r="A235">
        <v>93071017183</v>
      </c>
    </row>
    <row r="236">
      <c r="A236">
        <v>93071015673</v>
      </c>
    </row>
    <row r="237">
      <c r="A237">
        <v>93071015600</v>
      </c>
    </row>
    <row r="238">
      <c r="A238">
        <v>93071015879</v>
      </c>
    </row>
    <row r="239">
      <c r="A239">
        <v>93071015889</v>
      </c>
    </row>
    <row r="240">
      <c r="A240">
        <v>93071015892</v>
      </c>
    </row>
    <row r="241">
      <c r="A241">
        <v>93071015939</v>
      </c>
    </row>
    <row r="242">
      <c r="A242">
        <v>93071016210</v>
      </c>
    </row>
    <row r="243">
      <c r="A243">
        <v>93071015256</v>
      </c>
    </row>
    <row r="244">
      <c r="A244">
        <v>93071015813</v>
      </c>
    </row>
    <row r="245">
      <c r="A245">
        <v>93071015815</v>
      </c>
    </row>
    <row r="246">
      <c r="A246">
        <v>93071015824</v>
      </c>
    </row>
    <row r="247">
      <c r="A247">
        <v>93071015829</v>
      </c>
    </row>
    <row r="248">
      <c r="A248">
        <v>93071015856</v>
      </c>
    </row>
    <row r="249">
      <c r="A249">
        <v>93071015895</v>
      </c>
    </row>
    <row r="250">
      <c r="A250">
        <v>93071015898</v>
      </c>
    </row>
    <row r="251">
      <c r="A251">
        <v>93071015919</v>
      </c>
    </row>
    <row r="252">
      <c r="A252">
        <v>93071015927</v>
      </c>
    </row>
    <row r="253">
      <c r="A253">
        <v>93071015962</v>
      </c>
    </row>
    <row r="254">
      <c r="A254">
        <v>93071015966</v>
      </c>
    </row>
    <row r="255">
      <c r="A255">
        <v>93081015870</v>
      </c>
    </row>
    <row r="256">
      <c r="A256">
        <v>93071016199</v>
      </c>
    </row>
    <row r="257">
      <c r="A257">
        <v>93071016205</v>
      </c>
    </row>
    <row r="258">
      <c r="A258">
        <v>93071015817</v>
      </c>
    </row>
    <row r="259">
      <c r="A259">
        <v>93071015831</v>
      </c>
    </row>
    <row r="260">
      <c r="A260">
        <v>93071015847</v>
      </c>
    </row>
    <row r="261">
      <c r="A261">
        <v>93071015857</v>
      </c>
    </row>
    <row r="262">
      <c r="A262">
        <v>93071015869</v>
      </c>
    </row>
    <row r="263">
      <c r="A263">
        <v>93071015885</v>
      </c>
    </row>
    <row r="264">
      <c r="A264">
        <v>93071015908</v>
      </c>
    </row>
    <row r="265">
      <c r="A265">
        <v>93071015929</v>
      </c>
    </row>
    <row r="266">
      <c r="A266">
        <v>93071015932</v>
      </c>
    </row>
    <row r="267">
      <c r="A267">
        <v>93071013647</v>
      </c>
    </row>
    <row r="268">
      <c r="A268">
        <v>93071016345</v>
      </c>
    </row>
    <row r="269">
      <c r="A269">
        <v>93071016350</v>
      </c>
    </row>
    <row r="270">
      <c r="A270">
        <v>93071016352</v>
      </c>
    </row>
    <row r="271">
      <c r="A271">
        <v>93071016207</v>
      </c>
    </row>
    <row r="272">
      <c r="A272" t="str">
        <v>COLTEL-033298</v>
      </c>
    </row>
    <row r="273">
      <c r="A273">
        <v>93071015976</v>
      </c>
    </row>
    <row r="274">
      <c r="A274">
        <v>93071017178</v>
      </c>
    </row>
    <row r="275">
      <c r="A275">
        <v>93071017182</v>
      </c>
    </row>
    <row r="276">
      <c r="A276">
        <v>930714059</v>
      </c>
    </row>
    <row r="277">
      <c r="A277">
        <v>930714061</v>
      </c>
    </row>
    <row r="278">
      <c r="A278">
        <v>930714057</v>
      </c>
    </row>
    <row r="279">
      <c r="A279">
        <v>930714062</v>
      </c>
    </row>
    <row r="280">
      <c r="A280">
        <v>930714065</v>
      </c>
    </row>
    <row r="281">
      <c r="A281">
        <v>930714056</v>
      </c>
    </row>
    <row r="282">
      <c r="A282">
        <v>930714063</v>
      </c>
    </row>
    <row r="283">
      <c r="A283">
        <v>930714060</v>
      </c>
    </row>
    <row r="284">
      <c r="A284">
        <v>93071015670</v>
      </c>
    </row>
    <row r="285">
      <c r="A285">
        <v>93071015675</v>
      </c>
    </row>
    <row r="286">
      <c r="A286">
        <v>93071015674</v>
      </c>
    </row>
    <row r="287">
      <c r="A287">
        <v>93071015667</v>
      </c>
    </row>
    <row r="288">
      <c r="A288">
        <v>930713362</v>
      </c>
    </row>
    <row r="289">
      <c r="A289">
        <v>930711616</v>
      </c>
    </row>
    <row r="290">
      <c r="A290">
        <v>930711617</v>
      </c>
    </row>
    <row r="291">
      <c r="A291">
        <v>430711581</v>
      </c>
    </row>
    <row r="292">
      <c r="A292">
        <v>93071016003</v>
      </c>
    </row>
    <row r="293">
      <c r="A293">
        <v>93071015495</v>
      </c>
    </row>
    <row r="294">
      <c r="A294">
        <v>93071015688</v>
      </c>
    </row>
    <row r="295">
      <c r="A295">
        <v>93071016012</v>
      </c>
    </row>
    <row r="296">
      <c r="A296">
        <v>93071015654</v>
      </c>
    </row>
    <row r="297">
      <c r="A297">
        <v>93071016038</v>
      </c>
    </row>
    <row r="298">
      <c r="A298">
        <v>93071015698</v>
      </c>
    </row>
    <row r="299">
      <c r="A299">
        <v>93071016013</v>
      </c>
    </row>
    <row r="300">
      <c r="A300">
        <v>93071015872</v>
      </c>
    </row>
    <row r="301">
      <c r="A301">
        <v>93071015965</v>
      </c>
    </row>
    <row r="302">
      <c r="A302">
        <v>93071015799</v>
      </c>
    </row>
    <row r="303">
      <c r="A303">
        <v>93071015942</v>
      </c>
    </row>
    <row r="304">
      <c r="A304">
        <v>93071015945</v>
      </c>
    </row>
    <row r="305">
      <c r="A305">
        <v>93071015906</v>
      </c>
    </row>
    <row r="306">
      <c r="A306">
        <v>93071015882</v>
      </c>
    </row>
    <row r="307">
      <c r="A307">
        <v>93071015959</v>
      </c>
    </row>
    <row r="308">
      <c r="A308">
        <v>93071015904</v>
      </c>
    </row>
    <row r="309">
      <c r="A309">
        <v>93071015925</v>
      </c>
    </row>
    <row r="310">
      <c r="A310">
        <v>93071015961</v>
      </c>
    </row>
    <row r="311">
      <c r="A311">
        <v>93071015948</v>
      </c>
    </row>
    <row r="312">
      <c r="A312">
        <v>93071015861</v>
      </c>
    </row>
    <row r="313">
      <c r="A313">
        <v>93071015951</v>
      </c>
    </row>
    <row r="314">
      <c r="A314">
        <v>93071015853</v>
      </c>
    </row>
    <row r="315">
      <c r="A315">
        <v>93071015854</v>
      </c>
    </row>
    <row r="316">
      <c r="A316">
        <v>93071015820</v>
      </c>
    </row>
    <row r="317">
      <c r="A317">
        <v>93071015819</v>
      </c>
    </row>
    <row r="318">
      <c r="A318">
        <v>93071015946</v>
      </c>
    </row>
    <row r="319">
      <c r="A319">
        <v>93071015876</v>
      </c>
    </row>
    <row r="320">
      <c r="A320">
        <v>93071015860</v>
      </c>
    </row>
    <row r="321">
      <c r="A321">
        <v>93071015863</v>
      </c>
    </row>
    <row r="322">
      <c r="A322">
        <v>93071015852</v>
      </c>
    </row>
    <row r="323" xml:space="preserve">
      <c r="A323" t="str" xml:space="preserve">
        <v xml:space="preserve">93071015657
</v>
      </c>
    </row>
    <row r="324">
      <c r="A324">
        <v>93071016059</v>
      </c>
    </row>
    <row r="325">
      <c r="A325">
        <v>93071015998</v>
      </c>
    </row>
    <row r="326">
      <c r="A326">
        <v>93071015978</v>
      </c>
    </row>
    <row r="327">
      <c r="A327">
        <v>93071015551</v>
      </c>
    </row>
    <row r="328">
      <c r="A328">
        <v>93071015570</v>
      </c>
    </row>
    <row r="329">
      <c r="A329">
        <v>93071015598</v>
      </c>
    </row>
    <row r="330">
      <c r="A330">
        <v>93071015479</v>
      </c>
    </row>
    <row r="331">
      <c r="A331">
        <v>91131025492</v>
      </c>
    </row>
    <row r="332">
      <c r="A332">
        <v>93071015642</v>
      </c>
    </row>
    <row r="333">
      <c r="A333">
        <v>91131025495</v>
      </c>
    </row>
    <row r="334">
      <c r="A334">
        <v>91131025501</v>
      </c>
    </row>
    <row r="335">
      <c r="A335">
        <v>93071015624</v>
      </c>
    </row>
    <row r="336">
      <c r="A336">
        <v>93071015614</v>
      </c>
    </row>
    <row r="337">
      <c r="A337">
        <v>93071015647</v>
      </c>
    </row>
    <row r="338">
      <c r="A338">
        <v>93071015648</v>
      </c>
    </row>
    <row r="339">
      <c r="A339">
        <v>93071015619</v>
      </c>
    </row>
    <row r="340">
      <c r="A340">
        <v>93071015706</v>
      </c>
    </row>
    <row r="341">
      <c r="A341">
        <v>93071015617</v>
      </c>
    </row>
    <row r="342">
      <c r="A342">
        <v>93071015701</v>
      </c>
    </row>
    <row r="343">
      <c r="A343">
        <v>93071015702</v>
      </c>
    </row>
    <row r="344">
      <c r="A344">
        <v>91131025505</v>
      </c>
    </row>
    <row r="345">
      <c r="A345">
        <v>91131025497</v>
      </c>
    </row>
    <row r="346">
      <c r="A346">
        <v>91131025493</v>
      </c>
    </row>
    <row r="347">
      <c r="A347">
        <v>93071015613</v>
      </c>
    </row>
    <row r="348">
      <c r="A348">
        <v>93071015639</v>
      </c>
    </row>
    <row r="349">
      <c r="A349">
        <v>93071015707</v>
      </c>
    </row>
    <row r="350">
      <c r="A350">
        <v>93071015665</v>
      </c>
    </row>
    <row r="351">
      <c r="A351">
        <v>93071015651</v>
      </c>
    </row>
    <row r="352">
      <c r="A352">
        <v>93071015625</v>
      </c>
    </row>
    <row r="353">
      <c r="A353">
        <v>91131025498</v>
      </c>
    </row>
    <row r="354">
      <c r="A354">
        <v>93071015615</v>
      </c>
    </row>
    <row r="355">
      <c r="A355">
        <v>91131025504</v>
      </c>
    </row>
    <row r="356">
      <c r="A356">
        <v>93071015616</v>
      </c>
    </row>
    <row r="357">
      <c r="A357">
        <v>91131025502</v>
      </c>
    </row>
    <row r="358">
      <c r="A358">
        <v>93071015612</v>
      </c>
    </row>
    <row r="359">
      <c r="A359">
        <v>93071015641</v>
      </c>
    </row>
    <row r="360">
      <c r="A360">
        <v>91131025506</v>
      </c>
    </row>
    <row r="361">
      <c r="A361">
        <v>91131025500</v>
      </c>
    </row>
    <row r="362">
      <c r="A362">
        <v>93071015636</v>
      </c>
    </row>
    <row r="363">
      <c r="A363">
        <v>93071015618</v>
      </c>
    </row>
    <row r="364">
      <c r="A364">
        <v>91131025494</v>
      </c>
    </row>
    <row r="365">
      <c r="A365">
        <v>93071015496</v>
      </c>
    </row>
    <row r="366">
      <c r="A366">
        <v>93071015709</v>
      </c>
    </row>
    <row r="367">
      <c r="A367">
        <v>93071015646</v>
      </c>
    </row>
    <row r="368">
      <c r="A368">
        <v>93071015710</v>
      </c>
    </row>
    <row r="369">
      <c r="A369">
        <v>93071015663</v>
      </c>
    </row>
    <row r="370">
      <c r="A370">
        <v>93071015643</v>
      </c>
    </row>
    <row r="371">
      <c r="A371">
        <v>93071015644</v>
      </c>
    </row>
    <row r="372">
      <c r="A372">
        <v>93071015705</v>
      </c>
    </row>
    <row r="373">
      <c r="A373">
        <v>93071015700</v>
      </c>
    </row>
    <row r="374">
      <c r="A374">
        <v>93071015645</v>
      </c>
    </row>
    <row r="375">
      <c r="A375">
        <v>93071015649</v>
      </c>
    </row>
    <row r="376">
      <c r="A376">
        <v>93071015708</v>
      </c>
    </row>
    <row r="377">
      <c r="A377">
        <v>93071015620</v>
      </c>
    </row>
    <row r="378">
      <c r="A378">
        <v>93071015623</v>
      </c>
    </row>
    <row r="379">
      <c r="A379">
        <v>93071015661</v>
      </c>
    </row>
    <row r="380">
      <c r="A380">
        <v>93071015711</v>
      </c>
    </row>
    <row r="381">
      <c r="A381">
        <v>93071015506</v>
      </c>
    </row>
    <row r="382">
      <c r="A382">
        <v>93071015558</v>
      </c>
    </row>
    <row r="383">
      <c r="A383">
        <v>93071015525</v>
      </c>
    </row>
    <row r="384">
      <c r="A384">
        <v>93071015589</v>
      </c>
    </row>
    <row r="385">
      <c r="A385">
        <v>93071015430</v>
      </c>
    </row>
    <row r="386">
      <c r="A386">
        <v>93071015456</v>
      </c>
    </row>
    <row r="387">
      <c r="A387">
        <v>93071015534</v>
      </c>
    </row>
    <row r="388">
      <c r="A388">
        <v>93071015579</v>
      </c>
    </row>
    <row r="389">
      <c r="A389">
        <v>93071015523</v>
      </c>
    </row>
    <row r="390">
      <c r="A390">
        <v>93071015457</v>
      </c>
    </row>
    <row r="391">
      <c r="A391">
        <v>93071015522</v>
      </c>
    </row>
    <row r="392">
      <c r="A392">
        <v>93071015458</v>
      </c>
    </row>
    <row r="393">
      <c r="A393">
        <v>93071015584</v>
      </c>
    </row>
    <row r="394">
      <c r="A394">
        <v>93071015530</v>
      </c>
    </row>
    <row r="395">
      <c r="A395">
        <v>93071015508</v>
      </c>
    </row>
    <row r="396">
      <c r="A396">
        <v>93071015542</v>
      </c>
    </row>
    <row r="397">
      <c r="A397">
        <v>93071015432</v>
      </c>
    </row>
    <row r="398">
      <c r="A398">
        <v>93071015573</v>
      </c>
    </row>
    <row r="399">
      <c r="A399">
        <v>93071015526</v>
      </c>
    </row>
    <row r="400">
      <c r="A400">
        <v>93071015519</v>
      </c>
    </row>
    <row r="401">
      <c r="A401" t="str">
        <v>N/A</v>
      </c>
    </row>
    <row r="402">
      <c r="A402">
        <v>93071015376</v>
      </c>
    </row>
    <row r="403">
      <c r="A403">
        <v>93071015352</v>
      </c>
    </row>
    <row r="404">
      <c r="A404">
        <v>93071015360</v>
      </c>
    </row>
    <row r="405">
      <c r="A405">
        <v>93071015825</v>
      </c>
    </row>
    <row r="406">
      <c r="A406">
        <v>93071015913</v>
      </c>
    </row>
    <row r="407">
      <c r="A407">
        <v>93071015950</v>
      </c>
    </row>
    <row r="408">
      <c r="A408">
        <v>93071015938</v>
      </c>
    </row>
    <row r="409">
      <c r="A409">
        <v>93071015930</v>
      </c>
    </row>
    <row r="410">
      <c r="A410">
        <v>93071015364</v>
      </c>
    </row>
    <row r="411">
      <c r="A411">
        <v>93071015792</v>
      </c>
    </row>
    <row r="412">
      <c r="A412">
        <v>93071015909</v>
      </c>
    </row>
    <row r="413">
      <c r="A413">
        <v>93071015269</v>
      </c>
    </row>
    <row r="414">
      <c r="A414">
        <v>93071015264</v>
      </c>
    </row>
    <row r="415">
      <c r="A415">
        <v>93071015294</v>
      </c>
    </row>
    <row r="416">
      <c r="A416">
        <v>93071015267</v>
      </c>
    </row>
    <row r="417">
      <c r="A417">
        <v>93071015287</v>
      </c>
    </row>
    <row r="418">
      <c r="A418">
        <v>93071015292</v>
      </c>
    </row>
    <row r="419">
      <c r="A419">
        <v>93071015268</v>
      </c>
    </row>
    <row r="420">
      <c r="A420">
        <v>93071015288</v>
      </c>
    </row>
    <row r="421">
      <c r="A421">
        <v>93071015293</v>
      </c>
    </row>
    <row r="422">
      <c r="A422">
        <v>93071015271</v>
      </c>
    </row>
    <row r="423">
      <c r="A423">
        <v>93071015277</v>
      </c>
    </row>
    <row r="424">
      <c r="A424">
        <v>93071015262</v>
      </c>
    </row>
    <row r="425">
      <c r="A425">
        <v>93071016001</v>
      </c>
    </row>
    <row r="426">
      <c r="A426">
        <v>93071015569</v>
      </c>
    </row>
    <row r="427">
      <c r="A427">
        <v>93071016026</v>
      </c>
    </row>
    <row r="428">
      <c r="A428">
        <v>93071015604</v>
      </c>
    </row>
    <row r="429">
      <c r="A429">
        <v>93071016052</v>
      </c>
    </row>
    <row r="430">
      <c r="A430">
        <v>93071015502</v>
      </c>
    </row>
    <row r="431">
      <c r="A431">
        <v>93071016027</v>
      </c>
    </row>
    <row r="432">
      <c r="A432">
        <v>93071016030</v>
      </c>
    </row>
    <row r="433">
      <c r="A433">
        <v>93071015494</v>
      </c>
    </row>
    <row r="434">
      <c r="A434">
        <v>93071015422</v>
      </c>
    </row>
    <row r="435">
      <c r="A435">
        <v>93071016031</v>
      </c>
    </row>
    <row r="436">
      <c r="A436">
        <v>93071015971</v>
      </c>
    </row>
    <row r="437">
      <c r="A437">
        <v>93071015655</v>
      </c>
    </row>
    <row r="438">
      <c r="A438">
        <v>93071015984</v>
      </c>
    </row>
    <row r="439">
      <c r="A439">
        <v>93071015565</v>
      </c>
    </row>
    <row r="440">
      <c r="A440">
        <v>93071015628</v>
      </c>
    </row>
    <row r="441">
      <c r="A441">
        <v>93071016008</v>
      </c>
    </row>
    <row r="442">
      <c r="A442">
        <v>93071016024</v>
      </c>
    </row>
    <row r="443">
      <c r="A443">
        <v>93071015429</v>
      </c>
    </row>
    <row r="444">
      <c r="A444">
        <v>93071015715</v>
      </c>
    </row>
    <row r="445">
      <c r="A445">
        <v>93071015548</v>
      </c>
    </row>
    <row r="446">
      <c r="A446">
        <v>93071015549</v>
      </c>
    </row>
    <row r="447">
      <c r="A447">
        <v>93071016023</v>
      </c>
    </row>
    <row r="448">
      <c r="A448">
        <v>93071015635</v>
      </c>
    </row>
    <row r="449">
      <c r="A449">
        <v>93071015989</v>
      </c>
    </row>
    <row r="450">
      <c r="A450">
        <v>93071015634</v>
      </c>
    </row>
    <row r="451">
      <c r="A451">
        <v>93071015970</v>
      </c>
    </row>
    <row r="452">
      <c r="A452">
        <v>93071015806</v>
      </c>
    </row>
    <row r="453">
      <c r="A453">
        <v>93071015823</v>
      </c>
    </row>
    <row r="454">
      <c r="A454">
        <v>93071015873</v>
      </c>
    </row>
    <row r="455">
      <c r="A455">
        <v>93071015877</v>
      </c>
    </row>
    <row r="456">
      <c r="A456">
        <v>93071015841</v>
      </c>
    </row>
    <row r="457">
      <c r="A457">
        <v>93071015890</v>
      </c>
    </row>
    <row r="458">
      <c r="A458">
        <v>93071015910</v>
      </c>
    </row>
    <row r="459">
      <c r="A459">
        <v>93071015838</v>
      </c>
    </row>
    <row r="460">
      <c r="A460">
        <v>93071015437</v>
      </c>
    </row>
    <row r="461">
      <c r="A461">
        <v>93071015511</v>
      </c>
    </row>
    <row r="462">
      <c r="A462">
        <v>93071015546</v>
      </c>
    </row>
    <row r="463">
      <c r="A463">
        <v>93071015434</v>
      </c>
    </row>
    <row r="464">
      <c r="A464">
        <v>93071015543</v>
      </c>
    </row>
    <row r="465">
      <c r="A465">
        <v>93071015431</v>
      </c>
    </row>
    <row r="466">
      <c r="A466">
        <v>93071015544</v>
      </c>
    </row>
    <row r="467">
      <c r="A467">
        <v>93071015503</v>
      </c>
    </row>
    <row r="468">
      <c r="A468">
        <v>93071015512</v>
      </c>
    </row>
    <row r="469">
      <c r="A469">
        <v>93071015460</v>
      </c>
    </row>
    <row r="470">
      <c r="A470">
        <v>93071015531</v>
      </c>
    </row>
    <row r="471">
      <c r="A471">
        <v>93071015500</v>
      </c>
    </row>
    <row r="472">
      <c r="A472">
        <v>93071015421</v>
      </c>
    </row>
    <row r="473">
      <c r="A473">
        <v>93071015419</v>
      </c>
    </row>
    <row r="474">
      <c r="A474">
        <v>93071015469</v>
      </c>
    </row>
    <row r="475">
      <c r="A475">
        <v>93071015440</v>
      </c>
    </row>
    <row r="476">
      <c r="A476">
        <v>93071015445</v>
      </c>
    </row>
    <row r="477">
      <c r="A477">
        <v>93071015487</v>
      </c>
    </row>
    <row r="478">
      <c r="A478">
        <v>93071015509</v>
      </c>
    </row>
    <row r="479">
      <c r="A479">
        <v>93071015517</v>
      </c>
    </row>
    <row r="480">
      <c r="A480">
        <v>93071015541</v>
      </c>
    </row>
    <row r="481">
      <c r="A481">
        <v>93071015466</v>
      </c>
    </row>
    <row r="482">
      <c r="A482">
        <v>93071015425</v>
      </c>
    </row>
    <row r="483">
      <c r="A483">
        <v>93071015446</v>
      </c>
    </row>
    <row r="484">
      <c r="A484">
        <v>93071015464</v>
      </c>
    </row>
    <row r="485">
      <c r="A485">
        <v>93071015803</v>
      </c>
    </row>
    <row r="486">
      <c r="A486">
        <v>93071015903</v>
      </c>
    </row>
    <row r="487">
      <c r="A487">
        <v>93071015914</v>
      </c>
    </row>
    <row r="488">
      <c r="A488">
        <v>93071015934</v>
      </c>
    </row>
    <row r="489">
      <c r="A489">
        <v>93071015818</v>
      </c>
    </row>
    <row r="490">
      <c r="A490">
        <v>93071015918</v>
      </c>
    </row>
    <row r="491">
      <c r="A491">
        <v>93071015581</v>
      </c>
    </row>
    <row r="492">
      <c r="A492">
        <v>93071015493</v>
      </c>
    </row>
    <row r="493">
      <c r="A493">
        <v>93071015591</v>
      </c>
    </row>
    <row r="494">
      <c r="A494">
        <v>93071015603</v>
      </c>
    </row>
    <row r="495">
      <c r="A495">
        <v>93071015633</v>
      </c>
    </row>
    <row r="496">
      <c r="A496">
        <v>93071015605</v>
      </c>
    </row>
    <row r="497">
      <c r="A497">
        <v>93071015610</v>
      </c>
    </row>
    <row r="498">
      <c r="A498">
        <v>93071015629</v>
      </c>
    </row>
    <row r="499">
      <c r="A499">
        <v>93071015461</v>
      </c>
    </row>
    <row r="500">
      <c r="A500">
        <v>93071015463</v>
      </c>
    </row>
    <row r="501">
      <c r="A501">
        <v>93071015483</v>
      </c>
    </row>
    <row r="502">
      <c r="A502">
        <v>93071015442</v>
      </c>
    </row>
    <row r="503">
      <c r="A503">
        <v>93071015424</v>
      </c>
    </row>
    <row r="504">
      <c r="A504">
        <v>93071015418</v>
      </c>
    </row>
    <row r="505">
      <c r="A505">
        <v>93071015470</v>
      </c>
    </row>
    <row r="506">
      <c r="A506">
        <v>93071015482</v>
      </c>
    </row>
    <row r="507">
      <c r="A507">
        <v>93071015443</v>
      </c>
    </row>
    <row r="508">
      <c r="A508">
        <v>93071015462</v>
      </c>
    </row>
    <row r="509">
      <c r="A509">
        <v>93071015423</v>
      </c>
    </row>
    <row r="510">
      <c r="A510">
        <v>93071015420</v>
      </c>
    </row>
    <row r="511">
      <c r="A511">
        <v>93071015680</v>
      </c>
    </row>
    <row r="512">
      <c r="A512">
        <v>93071015601</v>
      </c>
    </row>
    <row r="513">
      <c r="A513">
        <v>93071015679</v>
      </c>
    </row>
    <row r="514">
      <c r="A514">
        <v>93071015473</v>
      </c>
    </row>
    <row r="515">
      <c r="A515">
        <v>93071015830</v>
      </c>
    </row>
    <row r="516">
      <c r="A516">
        <v>93071015794</v>
      </c>
    </row>
    <row r="517">
      <c r="A517">
        <v>93071015</v>
      </c>
    </row>
    <row r="518">
      <c r="A518">
        <v>93071015547</v>
      </c>
    </row>
    <row r="519">
      <c r="A519">
        <v>93071015666</v>
      </c>
    </row>
    <row r="520">
      <c r="A520">
        <v>930714064</v>
      </c>
    </row>
    <row r="521">
      <c r="A521">
        <v>93071017152</v>
      </c>
    </row>
    <row r="523">
      <c r="A523">
        <v>930714058</v>
      </c>
    </row>
    <row r="524">
      <c r="A524">
        <v>93071015669</v>
      </c>
    </row>
    <row r="525">
      <c r="A525">
        <v>93071015677</v>
      </c>
    </row>
    <row r="526">
      <c r="A526">
        <v>93071017153</v>
      </c>
    </row>
    <row r="527">
      <c r="A527">
        <v>93071015627</v>
      </c>
    </row>
    <row r="528">
      <c r="A528">
        <v>93071015257</v>
      </c>
    </row>
    <row r="529">
      <c r="A529">
        <v>93071016191</v>
      </c>
    </row>
    <row r="530">
      <c r="A530">
        <v>93071015672</v>
      </c>
    </row>
    <row r="531">
      <c r="A531">
        <v>93071015678</v>
      </c>
    </row>
    <row r="533">
      <c r="A533">
        <v>93071017163</v>
      </c>
    </row>
    <row r="534">
      <c r="A534">
        <v>93071015902</v>
      </c>
    </row>
    <row r="535">
      <c r="A535">
        <v>93071015840</v>
      </c>
    </row>
    <row r="536">
      <c r="A536">
        <v>10101910869</v>
      </c>
    </row>
    <row r="537">
      <c r="A537">
        <v>93071015809</v>
      </c>
    </row>
    <row r="538">
      <c r="A538">
        <v>93071015811</v>
      </c>
    </row>
    <row r="539">
      <c r="A539">
        <v>93071015832</v>
      </c>
    </row>
    <row r="540">
      <c r="A540">
        <v>93071015871</v>
      </c>
    </row>
    <row r="541">
      <c r="A541">
        <v>93071015874</v>
      </c>
    </row>
    <row r="542">
      <c r="A542">
        <v>93071015878</v>
      </c>
    </row>
    <row r="543">
      <c r="A543">
        <v>93071015887</v>
      </c>
    </row>
    <row r="544">
      <c r="A544">
        <v>93071015893</v>
      </c>
    </row>
    <row r="545">
      <c r="A545">
        <v>93071015899</v>
      </c>
    </row>
    <row r="546">
      <c r="A546">
        <v>93071015922</v>
      </c>
    </row>
    <row r="547">
      <c r="A547">
        <v>93071015846</v>
      </c>
    </row>
    <row r="548">
      <c r="A548">
        <v>93071015883</v>
      </c>
    </row>
    <row r="549">
      <c r="A549">
        <v>93071015897</v>
      </c>
    </row>
    <row r="550">
      <c r="A550">
        <v>93071015907</v>
      </c>
    </row>
    <row r="551">
      <c r="A551">
        <v>93071015912</v>
      </c>
    </row>
    <row r="552">
      <c r="A552">
        <v>93071015917</v>
      </c>
    </row>
    <row r="554">
      <c r="A554">
        <v>93071015920</v>
      </c>
    </row>
    <row r="555">
      <c r="A555">
        <v>93071015935</v>
      </c>
    </row>
    <row r="556">
      <c r="A556">
        <v>93071015941</v>
      </c>
    </row>
    <row r="557">
      <c r="A557">
        <v>93071015943</v>
      </c>
    </row>
    <row r="558">
      <c r="A558">
        <v>93071015964</v>
      </c>
    </row>
    <row r="559">
      <c r="A559">
        <v>93071015798</v>
      </c>
    </row>
    <row r="560">
      <c r="A560">
        <v>93071015880</v>
      </c>
    </row>
    <row r="561">
      <c r="A561">
        <v>93071015855</v>
      </c>
    </row>
    <row r="562">
      <c r="A562">
        <v>93071015875</v>
      </c>
    </row>
    <row r="563">
      <c r="A563">
        <v>93071015812</v>
      </c>
    </row>
    <row r="564">
      <c r="A564">
        <v>93071015848</v>
      </c>
    </row>
    <row r="565">
      <c r="A565">
        <v>93071015859</v>
      </c>
    </row>
    <row r="566">
      <c r="A566">
        <v>93071015960</v>
      </c>
    </row>
    <row r="567">
      <c r="A567">
        <v>93071015805</v>
      </c>
    </row>
    <row r="568">
      <c r="A568">
        <v>93071015911</v>
      </c>
    </row>
    <row r="569">
      <c r="A569">
        <v>93071015802</v>
      </c>
    </row>
    <row r="570">
      <c r="A570" t="str">
        <v>SIN PLACA</v>
      </c>
    </row>
    <row r="571">
      <c r="A571">
        <v>93071015828</v>
      </c>
    </row>
    <row r="572">
      <c r="A572">
        <v>93071015800</v>
      </c>
    </row>
    <row r="573">
      <c r="A573">
        <v>93071015858</v>
      </c>
    </row>
    <row r="574">
      <c r="A574" t="str">
        <v>PLACA DUPLICADA 93071015812</v>
      </c>
    </row>
    <row r="575">
      <c r="A575">
        <v>93071015924</v>
      </c>
    </row>
    <row r="576">
      <c r="A576">
        <v>10101910873</v>
      </c>
    </row>
    <row r="577">
      <c r="A577">
        <v>10101910872</v>
      </c>
    </row>
    <row r="578">
      <c r="A578">
        <v>93071015114</v>
      </c>
    </row>
    <row r="579">
      <c r="A579">
        <v>93071015103</v>
      </c>
    </row>
    <row r="580">
      <c r="A580">
        <v>93071015118</v>
      </c>
    </row>
    <row r="581">
      <c r="A581">
        <v>93071015166</v>
      </c>
    </row>
    <row r="582">
      <c r="A582">
        <v>93071015200</v>
      </c>
    </row>
    <row r="583">
      <c r="A583">
        <v>93071015094</v>
      </c>
    </row>
    <row r="584">
      <c r="A584">
        <v>93071015096</v>
      </c>
    </row>
    <row r="585">
      <c r="A585">
        <v>93071015098</v>
      </c>
    </row>
    <row r="586">
      <c r="A586">
        <v>93071015115</v>
      </c>
    </row>
    <row r="587">
      <c r="A587">
        <v>93071015090</v>
      </c>
    </row>
    <row r="588">
      <c r="A588">
        <v>93071016148</v>
      </c>
    </row>
    <row r="589">
      <c r="A589">
        <v>93071016155</v>
      </c>
    </row>
    <row r="590">
      <c r="A590">
        <v>93071016160</v>
      </c>
    </row>
    <row r="591">
      <c r="A591">
        <v>93071016161</v>
      </c>
    </row>
    <row r="592">
      <c r="A592">
        <v>93071016140</v>
      </c>
    </row>
    <row r="593">
      <c r="A593">
        <v>93071016139</v>
      </c>
    </row>
    <row r="594">
      <c r="A594">
        <v>93071016158</v>
      </c>
    </row>
    <row r="595">
      <c r="A595">
        <v>93071016134</v>
      </c>
    </row>
    <row r="596">
      <c r="A596">
        <v>93071015169</v>
      </c>
    </row>
    <row r="597">
      <c r="A597">
        <v>93071015117</v>
      </c>
    </row>
    <row r="598">
      <c r="A598">
        <v>93071015105</v>
      </c>
    </row>
    <row r="599">
      <c r="A599">
        <v>93071015159</v>
      </c>
    </row>
    <row r="600">
      <c r="A600">
        <v>93071015116</v>
      </c>
    </row>
    <row r="601">
      <c r="A601">
        <v>93071015100</v>
      </c>
    </row>
    <row r="602">
      <c r="A602">
        <v>93071015204</v>
      </c>
    </row>
    <row r="603">
      <c r="A603">
        <v>93071016138</v>
      </c>
    </row>
    <row r="604">
      <c r="A604">
        <v>93071016159</v>
      </c>
    </row>
    <row r="605">
      <c r="A605">
        <v>93071016088</v>
      </c>
    </row>
    <row r="606">
      <c r="A606">
        <v>93071016142</v>
      </c>
    </row>
    <row r="607">
      <c r="A607">
        <v>93071016150</v>
      </c>
    </row>
    <row r="608">
      <c r="A608">
        <v>93071016309</v>
      </c>
    </row>
    <row r="609">
      <c r="A609">
        <v>93071016156</v>
      </c>
    </row>
    <row r="610">
      <c r="A610">
        <v>93071016154</v>
      </c>
    </row>
    <row r="611">
      <c r="A611">
        <v>93071016162</v>
      </c>
    </row>
    <row r="612">
      <c r="A612">
        <v>93071016165</v>
      </c>
    </row>
    <row r="613">
      <c r="A613">
        <v>93071015086</v>
      </c>
    </row>
    <row r="614">
      <c r="A614">
        <v>93071015162</v>
      </c>
    </row>
    <row r="615">
      <c r="A615">
        <v>93071015095</v>
      </c>
    </row>
    <row r="616">
      <c r="A616">
        <v>93071015104</v>
      </c>
    </row>
    <row r="617">
      <c r="A617">
        <v>93071015119</v>
      </c>
    </row>
    <row r="618">
      <c r="A618">
        <v>93071015171</v>
      </c>
    </row>
    <row r="619">
      <c r="A619">
        <v>93071015088</v>
      </c>
    </row>
    <row r="620">
      <c r="A620">
        <v>93071015101</v>
      </c>
    </row>
    <row r="621">
      <c r="A621">
        <v>93071015107</v>
      </c>
    </row>
    <row r="622">
      <c r="A622">
        <v>93071015102</v>
      </c>
    </row>
    <row r="623">
      <c r="A623">
        <v>93071015120</v>
      </c>
    </row>
    <row r="624">
      <c r="A624">
        <v>93071015089</v>
      </c>
    </row>
    <row r="625">
      <c r="A625">
        <v>93071015111</v>
      </c>
    </row>
    <row r="626">
      <c r="A626">
        <v>93071015109</v>
      </c>
    </row>
    <row r="627">
      <c r="A627">
        <v>93071015121</v>
      </c>
    </row>
    <row r="628">
      <c r="A628">
        <v>93071016141</v>
      </c>
    </row>
    <row r="629">
      <c r="A629">
        <v>93071016146</v>
      </c>
    </row>
    <row r="630">
      <c r="A630">
        <v>93071016131</v>
      </c>
    </row>
    <row r="631">
      <c r="A631">
        <v>93071016137</v>
      </c>
    </row>
    <row r="632">
      <c r="A632">
        <v>93071015564</v>
      </c>
    </row>
    <row r="633">
      <c r="A633">
        <v>93071015438</v>
      </c>
    </row>
    <row r="634">
      <c r="A634">
        <v>93071015554</v>
      </c>
    </row>
    <row r="635">
      <c r="A635">
        <v>93071015510</v>
      </c>
    </row>
    <row r="636">
      <c r="A636">
        <v>93071015583</v>
      </c>
    </row>
    <row r="637">
      <c r="A637">
        <v>93071015536</v>
      </c>
    </row>
    <row r="638">
      <c r="A638">
        <v>93071015533</v>
      </c>
    </row>
    <row r="639">
      <c r="A639">
        <v>93071015535</v>
      </c>
    </row>
    <row r="640">
      <c r="A640">
        <v>93071015459</v>
      </c>
    </row>
    <row r="641">
      <c r="A641">
        <v>93071015550</v>
      </c>
    </row>
    <row r="642">
      <c r="A642">
        <v>93071015537</v>
      </c>
    </row>
    <row r="643">
      <c r="A643">
        <v>93071015455</v>
      </c>
    </row>
    <row r="644">
      <c r="A644">
        <v>93071015577</v>
      </c>
    </row>
    <row r="645">
      <c r="A645">
        <v>93071015556</v>
      </c>
    </row>
    <row r="646">
      <c r="A646">
        <v>93071015557</v>
      </c>
    </row>
    <row r="647">
      <c r="A647">
        <v>93071015513</v>
      </c>
    </row>
    <row r="648">
      <c r="A648">
        <v>93071015515</v>
      </c>
    </row>
    <row r="649">
      <c r="A649">
        <v>93071015520</v>
      </c>
    </row>
    <row r="650">
      <c r="A650">
        <v>93071015501</v>
      </c>
    </row>
    <row r="651">
      <c r="A651">
        <v>93071015545</v>
      </c>
    </row>
    <row r="652">
      <c r="A652">
        <v>93071015936</v>
      </c>
    </row>
    <row r="653">
      <c r="A653">
        <v>93071015864</v>
      </c>
    </row>
    <row r="654">
      <c r="A654">
        <v>93071015392</v>
      </c>
    </row>
    <row r="655">
      <c r="A655">
        <v>93071015837</v>
      </c>
    </row>
    <row r="656">
      <c r="A656">
        <v>93071015388</v>
      </c>
    </row>
    <row r="657">
      <c r="A657">
        <v>93071015804</v>
      </c>
    </row>
    <row r="658">
      <c r="A658">
        <v>93071015353</v>
      </c>
    </row>
    <row r="659">
      <c r="A659">
        <v>93071015384</v>
      </c>
    </row>
    <row r="660">
      <c r="A660">
        <v>93071015356</v>
      </c>
    </row>
    <row r="661">
      <c r="A661">
        <v>93071015400</v>
      </c>
    </row>
    <row r="662">
      <c r="A662">
        <v>93071015808</v>
      </c>
    </row>
    <row r="663">
      <c r="A663">
        <v>9307105952</v>
      </c>
    </row>
    <row r="664">
      <c r="A664">
        <v>93071015380</v>
      </c>
    </row>
    <row r="665">
      <c r="A665" t="str">
        <v>NO TIENE</v>
      </c>
    </row>
    <row r="666">
      <c r="A666">
        <v>93071015949</v>
      </c>
    </row>
    <row r="667">
      <c r="A667">
        <v>93071015836</v>
      </c>
    </row>
    <row r="668">
      <c r="A668">
        <v>93071015372</v>
      </c>
    </row>
    <row r="669">
      <c r="A669">
        <v>93071015396</v>
      </c>
    </row>
    <row r="670">
      <c r="A670">
        <v>93071015833</v>
      </c>
    </row>
    <row r="671">
      <c r="A671">
        <v>93071015703</v>
      </c>
    </row>
    <row r="672">
      <c r="A672">
        <v>93071015668</v>
      </c>
    </row>
    <row r="673">
      <c r="A673">
        <v>93071015662</v>
      </c>
    </row>
    <row r="674">
      <c r="A674">
        <v>93071015575</v>
      </c>
    </row>
    <row r="675">
      <c r="A675">
        <v>93071015477</v>
      </c>
    </row>
    <row r="676">
      <c r="A676">
        <v>93071015696</v>
      </c>
    </row>
    <row r="677">
      <c r="A677">
        <v>93071015576</v>
      </c>
    </row>
    <row r="678">
      <c r="A678">
        <v>93071015427</v>
      </c>
    </row>
    <row r="679">
      <c r="A679">
        <v>93071016143</v>
      </c>
    </row>
    <row r="680">
      <c r="A680" t="str">
        <v>NO TIENE PLACA</v>
      </c>
    </row>
    <row r="681">
      <c r="A681">
        <v>93071015160</v>
      </c>
    </row>
    <row r="682">
      <c r="A682">
        <v>93071015158</v>
      </c>
    </row>
    <row r="683">
      <c r="A683">
        <v>93071017137</v>
      </c>
    </row>
    <row r="684">
      <c r="A684">
        <v>93071017138</v>
      </c>
    </row>
    <row r="685">
      <c r="A685">
        <v>93071017139</v>
      </c>
    </row>
    <row r="686">
      <c r="A686">
        <v>93071015156</v>
      </c>
    </row>
    <row r="687">
      <c r="A687">
        <v>93071015173</v>
      </c>
    </row>
    <row r="688">
      <c r="A688">
        <v>93071015165</v>
      </c>
    </row>
    <row r="689">
      <c r="A689">
        <v>93071015087</v>
      </c>
    </row>
    <row r="690">
      <c r="A690">
        <v>93071015099</v>
      </c>
    </row>
    <row r="691">
      <c r="A691">
        <v>93071015110</v>
      </c>
    </row>
    <row r="692">
      <c r="A692">
        <v>93071015168</v>
      </c>
    </row>
    <row r="693">
      <c r="A693">
        <v>93071016128</v>
      </c>
    </row>
    <row r="694">
      <c r="A694">
        <v>93071016155</v>
      </c>
    </row>
    <row r="695">
      <c r="A695">
        <v>93071016157</v>
      </c>
    </row>
    <row r="696">
      <c r="A696">
        <v>93071016130</v>
      </c>
    </row>
    <row r="697">
      <c r="A697">
        <v>93071016147</v>
      </c>
    </row>
    <row r="698">
      <c r="A698">
        <v>93071016149</v>
      </c>
    </row>
    <row r="699">
      <c r="A699">
        <v>93071015161</v>
      </c>
    </row>
    <row r="700">
      <c r="A700">
        <v>93071016152</v>
      </c>
    </row>
    <row r="702">
      <c r="A702">
        <v>93071015476</v>
      </c>
    </row>
    <row r="703">
      <c r="A703">
        <v>93071015452</v>
      </c>
    </row>
    <row r="704">
      <c r="A704">
        <v>93071015562</v>
      </c>
    </row>
    <row r="705">
      <c r="A705">
        <v>93071015664</v>
      </c>
    </row>
    <row r="706">
      <c r="A706" t="str">
        <v>1PLS2208SR20007RUR</v>
      </c>
    </row>
    <row r="707">
      <c r="A707">
        <v>72673526452</v>
      </c>
    </row>
    <row r="708">
      <c r="A708">
        <v>8787</v>
      </c>
    </row>
    <row r="709">
      <c r="A709">
        <v>5457387583</v>
      </c>
    </row>
  </sheetData>
  <ignoredErrors>
    <ignoredError numberStoredAsText="1" sqref="A1:O9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ID</v>
      </c>
      <c r="B1" t="str">
        <v>Coordinador</v>
      </c>
    </row>
    <row r="2">
      <c r="A2" t="str">
        <v>154A</v>
      </c>
      <c r="B2" t="str">
        <v>ABELARDO JAIMES REATIGA</v>
      </c>
    </row>
    <row r="3">
      <c r="A3">
        <v>61</v>
      </c>
      <c r="B3" t="str">
        <v>ABELARDO JAIMES REATIGA</v>
      </c>
    </row>
    <row r="4">
      <c r="A4">
        <v>62</v>
      </c>
      <c r="B4" t="str">
        <v>ABELARDO JAIMES REATIGA</v>
      </c>
    </row>
    <row r="5">
      <c r="A5">
        <v>83</v>
      </c>
      <c r="B5" t="str">
        <v>ABELARDO JAIMES REATIGA</v>
      </c>
    </row>
    <row r="6">
      <c r="A6">
        <v>85</v>
      </c>
      <c r="B6" t="str">
        <v>ABELARDO JAIMES REATIGA</v>
      </c>
    </row>
    <row r="7">
      <c r="A7">
        <v>86</v>
      </c>
      <c r="B7" t="str">
        <v>ABELARDO JAIMES REATIGA</v>
      </c>
    </row>
    <row r="8">
      <c r="A8">
        <v>153</v>
      </c>
      <c r="B8" t="str">
        <v>ABELARDO JAIMES REATIGA</v>
      </c>
    </row>
    <row r="9">
      <c r="A9">
        <v>154</v>
      </c>
      <c r="B9" t="str">
        <v>ABELARDO JAIMES REATIGA</v>
      </c>
    </row>
    <row r="10">
      <c r="A10">
        <v>155</v>
      </c>
      <c r="B10" t="str">
        <v>ABELARDO JAIMES REATIGA</v>
      </c>
    </row>
    <row r="11">
      <c r="A11">
        <v>156</v>
      </c>
      <c r="B11" t="str">
        <v>ABELARDO JAIMES REATIGA</v>
      </c>
    </row>
    <row r="12">
      <c r="A12">
        <v>157</v>
      </c>
      <c r="B12" t="str">
        <v>ABELARDO JAIMES REATIGA</v>
      </c>
    </row>
    <row r="13">
      <c r="A13">
        <v>266</v>
      </c>
      <c r="B13" t="str">
        <v>ABELARDO JAIMES REATIGA</v>
      </c>
    </row>
    <row r="14">
      <c r="A14">
        <v>269</v>
      </c>
      <c r="B14" t="str">
        <v>ABELARDO JAIMES REATIGA</v>
      </c>
    </row>
    <row r="15">
      <c r="A15">
        <v>323</v>
      </c>
      <c r="B15" t="str">
        <v>ABELARDO JAIMES REATIGA</v>
      </c>
    </row>
    <row r="16">
      <c r="A16" t="str">
        <v>154A</v>
      </c>
      <c r="B16" t="str">
        <v>ABELARDO JAIMES REATIGA</v>
      </c>
    </row>
    <row r="17">
      <c r="A17">
        <v>70</v>
      </c>
      <c r="B17" t="str">
        <v>CARLOS MARIO MONTIEL PETRO</v>
      </c>
    </row>
    <row r="18">
      <c r="A18">
        <v>71</v>
      </c>
      <c r="B18" t="str">
        <v>CARLOS MARIO MONTIEL PETRO</v>
      </c>
    </row>
    <row r="19">
      <c r="A19">
        <v>72</v>
      </c>
      <c r="B19" t="str">
        <v>CARLOS MARIO MONTIEL PETRO</v>
      </c>
    </row>
    <row r="20">
      <c r="A20">
        <v>73</v>
      </c>
      <c r="B20" t="str">
        <v>CARLOS MARIO MONTIEL PETRO</v>
      </c>
    </row>
    <row r="21">
      <c r="A21">
        <v>74</v>
      </c>
      <c r="B21" t="str">
        <v>CARLOS MARIO MONTIEL PETRO</v>
      </c>
    </row>
    <row r="22">
      <c r="A22">
        <v>106</v>
      </c>
      <c r="B22" t="str">
        <v>CARLOS MARIO MONTIEL PETRO</v>
      </c>
    </row>
    <row r="23">
      <c r="A23">
        <v>107</v>
      </c>
      <c r="B23" t="str">
        <v>CARLOS MARIO MONTIEL PETRO</v>
      </c>
    </row>
    <row r="24">
      <c r="A24">
        <v>108</v>
      </c>
      <c r="B24" t="str">
        <v>CARLOS MARIO MONTIEL PETRO</v>
      </c>
    </row>
    <row r="25">
      <c r="A25">
        <v>110</v>
      </c>
      <c r="B25" t="str">
        <v>CARLOS MARIO MONTIEL PETRO</v>
      </c>
    </row>
    <row r="26">
      <c r="A26">
        <v>113</v>
      </c>
      <c r="B26" t="str">
        <v>CARLOS MARIO MONTIEL PETRO</v>
      </c>
    </row>
    <row r="27">
      <c r="A27">
        <v>114</v>
      </c>
      <c r="B27" t="str">
        <v>CARLOS MARIO MONTIEL PETRO</v>
      </c>
    </row>
    <row r="28">
      <c r="A28">
        <v>186</v>
      </c>
      <c r="B28" t="str">
        <v>CARLOS MARIO MONTIEL PETRO</v>
      </c>
    </row>
    <row r="29">
      <c r="A29">
        <v>248</v>
      </c>
      <c r="B29" t="str">
        <v>CARLOS MARIO MONTIEL PETRO</v>
      </c>
    </row>
    <row r="30">
      <c r="A30">
        <v>258</v>
      </c>
      <c r="B30" t="str">
        <v>CARLOS MARIO MONTIEL PETRO</v>
      </c>
    </row>
    <row r="31">
      <c r="A31">
        <v>281</v>
      </c>
      <c r="B31" t="str">
        <v>CARLOS MARIO MONTIEL PETRO</v>
      </c>
    </row>
    <row r="32">
      <c r="A32">
        <v>282</v>
      </c>
      <c r="B32" t="str">
        <v>CARLOS MARIO MONTIEL PETRO</v>
      </c>
    </row>
    <row r="33">
      <c r="A33">
        <v>283</v>
      </c>
      <c r="B33" t="str">
        <v>CARLOS MARIO MONTIEL PETRO</v>
      </c>
    </row>
    <row r="34">
      <c r="A34">
        <v>284</v>
      </c>
      <c r="B34" t="str">
        <v>CARLOS MARIO MONTIEL PETRO</v>
      </c>
    </row>
    <row r="35">
      <c r="A35">
        <v>285</v>
      </c>
      <c r="B35" t="str">
        <v>CARLOS MARIO MONTIEL PETRO</v>
      </c>
    </row>
    <row r="36">
      <c r="A36">
        <v>308</v>
      </c>
      <c r="B36" t="str">
        <v>CARLOS MARIO MONTIEL PETRO</v>
      </c>
    </row>
    <row r="37">
      <c r="A37">
        <v>345</v>
      </c>
      <c r="B37" t="str">
        <v>CARLOS MARIO MONTIEL PETRO</v>
      </c>
    </row>
    <row r="38">
      <c r="A38" t="str">
        <v>106B</v>
      </c>
      <c r="B38" t="str">
        <v>CARLOS MARIO MONTIEL PETRO</v>
      </c>
    </row>
    <row r="39">
      <c r="A39" t="str">
        <v>106C</v>
      </c>
      <c r="B39" t="str">
        <v>CARLOS MARIO MONTIEL PETRO</v>
      </c>
    </row>
    <row r="40">
      <c r="A40" t="str">
        <v>70A</v>
      </c>
      <c r="B40" t="str">
        <v>CARLOS MARIO MONTIEL PETRO</v>
      </c>
    </row>
    <row r="41">
      <c r="A41">
        <v>133</v>
      </c>
      <c r="B41" t="str">
        <v>CLAUDIA MARCELA GELVEZ ROJAS</v>
      </c>
    </row>
    <row r="42">
      <c r="A42">
        <v>134</v>
      </c>
      <c r="B42" t="str">
        <v>CLAUDIA MARCELA GELVEZ ROJAS</v>
      </c>
    </row>
    <row r="43">
      <c r="A43">
        <v>136</v>
      </c>
      <c r="B43" t="str">
        <v>CLAUDIA MARCELA GELVEZ ROJAS</v>
      </c>
    </row>
    <row r="44">
      <c r="A44">
        <v>141</v>
      </c>
      <c r="B44" t="str">
        <v>CLAUDIA MARCELA GELVEZ ROJAS</v>
      </c>
    </row>
    <row r="45">
      <c r="A45">
        <v>194</v>
      </c>
      <c r="B45" t="str">
        <v>CLAUDIA MARCELA GELVEZ ROJAS</v>
      </c>
    </row>
    <row r="46">
      <c r="A46">
        <v>220</v>
      </c>
      <c r="B46" t="str">
        <v>CLAUDIA MARCELA GELVEZ ROJAS</v>
      </c>
    </row>
    <row r="47">
      <c r="A47">
        <v>256</v>
      </c>
      <c r="B47" t="str">
        <v>CLAUDIA MARCELA GELVEZ ROJAS</v>
      </c>
    </row>
    <row r="48">
      <c r="A48" t="str">
        <v>133A</v>
      </c>
      <c r="B48" t="str">
        <v>CLAUDIA MARCELA GELVEZ ROJAS</v>
      </c>
    </row>
    <row r="49">
      <c r="A49" t="str">
        <v>133B</v>
      </c>
      <c r="B49" t="str">
        <v>CLAUDIA MARCELA GELVEZ ROJAS</v>
      </c>
    </row>
    <row r="50">
      <c r="A50">
        <v>22</v>
      </c>
      <c r="B50" t="str">
        <v>DAVID ENRIQUE CANTILLO MIER</v>
      </c>
    </row>
    <row r="51">
      <c r="A51">
        <v>27</v>
      </c>
      <c r="B51" t="str">
        <v>DAVID ENRIQUE CANTILLO MIER</v>
      </c>
    </row>
    <row r="52">
      <c r="A52">
        <v>29</v>
      </c>
      <c r="B52" t="str">
        <v>DAVID ENRIQUE CANTILLO MIER</v>
      </c>
    </row>
    <row r="53">
      <c r="A53">
        <v>30</v>
      </c>
      <c r="B53" t="str">
        <v>DAVID ENRIQUE CANTILLO MIER</v>
      </c>
    </row>
    <row r="54">
      <c r="A54">
        <v>38</v>
      </c>
      <c r="B54" t="str">
        <v>DAVID ENRIQUE CANTILLO MIER</v>
      </c>
    </row>
    <row r="55">
      <c r="A55">
        <v>199</v>
      </c>
      <c r="B55" t="str">
        <v>DAVID ENRIQUE CANTILLO MIER</v>
      </c>
    </row>
    <row r="56">
      <c r="A56">
        <v>294</v>
      </c>
      <c r="B56" t="str">
        <v>DAVID ENRIQUE CANTILLO MIER</v>
      </c>
    </row>
    <row r="57">
      <c r="A57">
        <v>317</v>
      </c>
      <c r="B57" t="str">
        <v>DAVID ENRIQUE CANTILLO MIER</v>
      </c>
    </row>
    <row r="58">
      <c r="A58" t="str">
        <v>22A</v>
      </c>
      <c r="B58" t="str">
        <v>DAVID ENRIQUE CANTILLO MIER</v>
      </c>
    </row>
    <row r="59">
      <c r="A59">
        <v>363</v>
      </c>
      <c r="B59" t="str">
        <v>DAVID ENRIQUE CANTILLO MIER</v>
      </c>
    </row>
    <row r="60">
      <c r="A60">
        <v>362</v>
      </c>
      <c r="B60" t="str">
        <v>DAVID ENRIQUE CANTILLO MIER</v>
      </c>
    </row>
    <row r="61">
      <c r="A61">
        <v>366</v>
      </c>
      <c r="B61" t="str">
        <v>DAVID ENRIQUE CANTILLO MIER</v>
      </c>
    </row>
    <row r="62">
      <c r="A62">
        <v>99</v>
      </c>
      <c r="B62" t="str">
        <v>DIEGO ARMANDO GUTIERREZ ROJAS</v>
      </c>
    </row>
    <row r="63">
      <c r="A63">
        <v>100</v>
      </c>
      <c r="B63" t="str">
        <v>DIEGO ARMANDO GUTIERREZ ROJAS</v>
      </c>
    </row>
    <row r="64">
      <c r="A64">
        <v>101</v>
      </c>
      <c r="B64" t="str">
        <v>DIEGO ARMANDO GUTIERREZ ROJAS</v>
      </c>
    </row>
    <row r="65">
      <c r="A65">
        <v>102</v>
      </c>
      <c r="B65" t="str">
        <v>DIEGO ARMANDO GUTIERREZ ROJAS</v>
      </c>
    </row>
    <row r="66">
      <c r="A66">
        <v>103</v>
      </c>
      <c r="B66" t="str">
        <v>DIEGO ARMANDO GUTIERREZ ROJAS</v>
      </c>
    </row>
    <row r="67">
      <c r="A67">
        <v>104</v>
      </c>
      <c r="B67" t="str">
        <v>DIEGO ARMANDO GUTIERREZ ROJAS</v>
      </c>
    </row>
    <row r="68">
      <c r="A68">
        <v>105</v>
      </c>
      <c r="B68" t="str">
        <v>DIEGO ARMANDO GUTIERREZ ROJAS</v>
      </c>
    </row>
    <row r="69">
      <c r="A69">
        <v>185</v>
      </c>
      <c r="B69" t="str">
        <v>DIEGO ARMANDO GUTIERREZ ROJAS</v>
      </c>
    </row>
    <row r="70">
      <c r="A70">
        <v>204</v>
      </c>
      <c r="B70" t="str">
        <v>DIEGO ARMANDO GUTIERREZ ROJAS</v>
      </c>
    </row>
    <row r="71">
      <c r="A71">
        <v>344</v>
      </c>
      <c r="B71" t="str">
        <v>DIEGO ARMANDO GUTIERREZ ROJAS</v>
      </c>
    </row>
    <row r="72">
      <c r="A72" t="str">
        <v>99A</v>
      </c>
      <c r="B72" t="str">
        <v>DIEGO ARMANDO GUTIERREZ ROJAS</v>
      </c>
    </row>
    <row r="73">
      <c r="A73">
        <v>1</v>
      </c>
      <c r="B73" t="str">
        <v>DIEGO EFRAIN SOTO VELLOJIN</v>
      </c>
    </row>
    <row r="74">
      <c r="A74">
        <v>24</v>
      </c>
      <c r="B74" t="str">
        <v>DIEGO EFRAIN SOTO VELLOJIN</v>
      </c>
    </row>
    <row r="75">
      <c r="A75">
        <v>36</v>
      </c>
      <c r="B75" t="str">
        <v>DIEGO EFRAIN SOTO VELLOJIN</v>
      </c>
    </row>
    <row r="76">
      <c r="A76">
        <v>93</v>
      </c>
      <c r="B76" t="str">
        <v>DIEGO EFRAIN SOTO VELLOJIN</v>
      </c>
    </row>
    <row r="77">
      <c r="A77" t="str">
        <v>24A</v>
      </c>
      <c r="B77" t="str">
        <v>DIEGO EFRAIN SOTO VELLOJIN</v>
      </c>
    </row>
    <row r="78">
      <c r="A78" t="str">
        <v>24B</v>
      </c>
      <c r="B78" t="str">
        <v>DIEGO EFRAIN SOTO VELLOJIN</v>
      </c>
    </row>
    <row r="79">
      <c r="A79" t="str">
        <v>24C</v>
      </c>
      <c r="B79" t="str">
        <v>DIEGO EFRAIN SOTO VELLOJIN</v>
      </c>
    </row>
    <row r="80">
      <c r="A80">
        <v>115</v>
      </c>
      <c r="B80" t="str">
        <v>DIEGO FERNANDO RICO GAMBA</v>
      </c>
    </row>
    <row r="81">
      <c r="A81">
        <v>117</v>
      </c>
      <c r="B81" t="str">
        <v>DIEGO FERNANDO RICO GAMBA</v>
      </c>
    </row>
    <row r="82">
      <c r="A82">
        <v>118</v>
      </c>
      <c r="B82" t="str">
        <v>DIEGO FERNANDO RICO GAMBA</v>
      </c>
    </row>
    <row r="83">
      <c r="A83">
        <v>167</v>
      </c>
      <c r="B83" t="str">
        <v>DIEGO FERNANDO RICO GAMBA</v>
      </c>
    </row>
    <row r="84">
      <c r="A84">
        <v>168</v>
      </c>
      <c r="B84" t="str">
        <v>DIEGO FERNANDO RICO GAMBA</v>
      </c>
    </row>
    <row r="85">
      <c r="A85">
        <v>169</v>
      </c>
      <c r="B85" t="str">
        <v>DIEGO FERNANDO RICO GAMBA</v>
      </c>
    </row>
    <row r="86">
      <c r="A86">
        <v>170</v>
      </c>
      <c r="B86" t="str">
        <v>DIEGO FERNANDO RICO GAMBA</v>
      </c>
    </row>
    <row r="87">
      <c r="A87">
        <v>179</v>
      </c>
      <c r="B87" t="str">
        <v>DIEGO FERNANDO RICO GAMBA</v>
      </c>
    </row>
    <row r="88">
      <c r="A88">
        <v>226</v>
      </c>
      <c r="B88" t="str">
        <v>DIEGO FERNANDO RICO GAMBA</v>
      </c>
    </row>
    <row r="89">
      <c r="A89">
        <v>238</v>
      </c>
      <c r="B89" t="str">
        <v>DIEGO FERNANDO RICO GAMBA</v>
      </c>
    </row>
    <row r="90">
      <c r="A90">
        <v>239</v>
      </c>
      <c r="B90" t="str">
        <v>DIEGO FERNANDO RICO GAMBA</v>
      </c>
    </row>
    <row r="91">
      <c r="A91">
        <v>240</v>
      </c>
      <c r="B91" t="str">
        <v>DIEGO FERNANDO RICO GAMBA</v>
      </c>
    </row>
    <row r="92">
      <c r="A92">
        <v>241</v>
      </c>
      <c r="B92" t="str">
        <v>DIEGO FERNANDO RICO GAMBA</v>
      </c>
    </row>
    <row r="93">
      <c r="A93">
        <v>247</v>
      </c>
      <c r="B93" t="str">
        <v>DIEGO FERNANDO RICO GAMBA</v>
      </c>
    </row>
    <row r="94">
      <c r="A94">
        <v>286</v>
      </c>
      <c r="B94" t="str">
        <v>DIEGO FERNANDO RICO GAMBA</v>
      </c>
    </row>
    <row r="95">
      <c r="A95">
        <v>292</v>
      </c>
      <c r="B95" t="str">
        <v>DIEGO FERNANDO RICO GAMBA</v>
      </c>
    </row>
    <row r="96">
      <c r="A96">
        <v>306</v>
      </c>
      <c r="B96" t="str">
        <v>DIEGO FERNANDO RICO GAMBA</v>
      </c>
    </row>
    <row r="97">
      <c r="A97">
        <v>313</v>
      </c>
      <c r="B97" t="str">
        <v>DIEGO FERNANDO RICO GAMBA</v>
      </c>
    </row>
    <row r="98">
      <c r="A98">
        <v>337</v>
      </c>
      <c r="B98" t="str">
        <v>DIEGO FERNANDO RICO GAMBA</v>
      </c>
    </row>
    <row r="99">
      <c r="A99">
        <v>338</v>
      </c>
      <c r="B99" t="str">
        <v>DIEGO FERNANDO RICO GAMBA</v>
      </c>
    </row>
    <row r="100">
      <c r="A100" t="str">
        <v>115A</v>
      </c>
      <c r="B100" t="str">
        <v>DIEGO FERNANDO RICO GAMBA</v>
      </c>
    </row>
    <row r="101">
      <c r="A101" t="str">
        <v>167A</v>
      </c>
      <c r="B101" t="str">
        <v>DIEGO FERNANDO RICO GAMBA</v>
      </c>
    </row>
    <row r="102">
      <c r="A102" t="str">
        <v>170A</v>
      </c>
      <c r="B102" t="str">
        <v>DIEGO FERNANDO RICO GAMBA</v>
      </c>
    </row>
    <row r="103">
      <c r="A103" t="str">
        <v>179A</v>
      </c>
      <c r="B103" t="str">
        <v>DIEGO FERNANDO RICO GAMBA</v>
      </c>
    </row>
    <row r="104">
      <c r="A104">
        <v>358</v>
      </c>
      <c r="B104" t="str">
        <v>DIEGO FERNANDO RICO GAMBA</v>
      </c>
    </row>
    <row r="105">
      <c r="A105">
        <v>9</v>
      </c>
      <c r="B105" t="str">
        <v>ERICK LEONARDO SANTOS MORENO</v>
      </c>
    </row>
    <row r="106">
      <c r="A106">
        <v>12</v>
      </c>
      <c r="B106" t="str">
        <v>ERICK LEONARDO SANTOS MORENO</v>
      </c>
    </row>
    <row r="107">
      <c r="A107">
        <v>18</v>
      </c>
      <c r="B107" t="str">
        <v>ERICK LEONARDO SANTOS MORENO</v>
      </c>
    </row>
    <row r="108">
      <c r="A108">
        <v>96</v>
      </c>
      <c r="B108" t="str">
        <v>ERICK LEONARDO SANTOS MORENO</v>
      </c>
    </row>
    <row r="109">
      <c r="A109">
        <v>123</v>
      </c>
      <c r="B109" t="str">
        <v>ERICK LEONARDO SANTOS MORENO</v>
      </c>
    </row>
    <row r="110">
      <c r="A110">
        <v>200</v>
      </c>
      <c r="B110" t="str">
        <v>ERICK LEONARDO SANTOS MORENO</v>
      </c>
    </row>
    <row r="111">
      <c r="A111">
        <v>207</v>
      </c>
      <c r="B111" t="str">
        <v>ERICK LEONARDO SANTOS MORENO</v>
      </c>
    </row>
    <row r="112">
      <c r="A112">
        <v>208</v>
      </c>
      <c r="B112" t="str">
        <v>ERICK LEONARDO SANTOS MORENO</v>
      </c>
    </row>
    <row r="113">
      <c r="A113">
        <v>233</v>
      </c>
      <c r="B113" t="str">
        <v>ERICK LEONARDO SANTOS MORENO</v>
      </c>
    </row>
    <row r="114">
      <c r="A114">
        <v>235</v>
      </c>
      <c r="B114" t="str">
        <v>ERICK LEONARDO SANTOS MORENO</v>
      </c>
    </row>
    <row r="115">
      <c r="A115" t="str">
        <v>96A</v>
      </c>
      <c r="B115" t="str">
        <v>ERICK LEONARDO SANTOS MORENO</v>
      </c>
    </row>
    <row r="116">
      <c r="A116" t="str">
        <v>9A</v>
      </c>
      <c r="B116" t="str">
        <v>ERICK LEONARDO SANTOS MORENO</v>
      </c>
    </row>
    <row r="117">
      <c r="A117" t="str">
        <v>9B</v>
      </c>
      <c r="B117" t="str">
        <v>ERICK LEONARDO SANTOS MORENO</v>
      </c>
    </row>
    <row r="118">
      <c r="A118">
        <v>121</v>
      </c>
      <c r="B118" t="str">
        <v>FERNANDO ARENAS GUTIERREZ</v>
      </c>
    </row>
    <row r="119">
      <c r="A119">
        <v>124</v>
      </c>
      <c r="B119" t="str">
        <v>FERNANDO ARENAS GUTIERREZ</v>
      </c>
    </row>
    <row r="120">
      <c r="A120">
        <v>160</v>
      </c>
      <c r="B120" t="str">
        <v>FERNANDO ARENAS GUTIERREZ</v>
      </c>
    </row>
    <row r="121">
      <c r="A121">
        <v>161</v>
      </c>
      <c r="B121" t="str">
        <v>FERNANDO ARENAS GUTIERREZ</v>
      </c>
    </row>
    <row r="122">
      <c r="A122">
        <v>162</v>
      </c>
      <c r="B122" t="str">
        <v>FERNANDO ARENAS GUTIERREZ</v>
      </c>
    </row>
    <row r="123">
      <c r="A123">
        <v>163</v>
      </c>
      <c r="B123" t="str">
        <v>FERNANDO ARENAS GUTIERREZ</v>
      </c>
    </row>
    <row r="124">
      <c r="A124">
        <v>164</v>
      </c>
      <c r="B124" t="str">
        <v>FERNANDO ARENAS GUTIERREZ</v>
      </c>
    </row>
    <row r="125">
      <c r="A125">
        <v>165</v>
      </c>
      <c r="B125" t="str">
        <v>FERNANDO ARENAS GUTIERREZ</v>
      </c>
    </row>
    <row r="126">
      <c r="A126">
        <v>166</v>
      </c>
      <c r="B126" t="str">
        <v>FERNANDO ARENAS GUTIERREZ</v>
      </c>
    </row>
    <row r="127">
      <c r="A127">
        <v>188</v>
      </c>
      <c r="B127" t="str">
        <v>FERNANDO ARENAS GUTIERREZ</v>
      </c>
    </row>
    <row r="128">
      <c r="A128">
        <v>223</v>
      </c>
      <c r="B128" t="str">
        <v>FERNANDO ARENAS GUTIERREZ</v>
      </c>
    </row>
    <row r="129">
      <c r="A129">
        <v>225</v>
      </c>
      <c r="B129" t="str">
        <v>FERNANDO ARENAS GUTIERREZ</v>
      </c>
    </row>
    <row r="130">
      <c r="A130">
        <v>229</v>
      </c>
      <c r="B130" t="str">
        <v>FERNANDO ARENAS GUTIERREZ</v>
      </c>
    </row>
    <row r="131">
      <c r="A131">
        <v>234</v>
      </c>
      <c r="B131" t="str">
        <v>FERNANDO ARENAS GUTIERREZ</v>
      </c>
    </row>
    <row r="132">
      <c r="A132">
        <v>268</v>
      </c>
      <c r="B132" t="str">
        <v>FERNANDO ARENAS GUTIERREZ</v>
      </c>
    </row>
    <row r="133">
      <c r="A133">
        <v>291</v>
      </c>
      <c r="B133" t="str">
        <v>FERNANDO ARENAS GUTIERREZ</v>
      </c>
    </row>
    <row r="134">
      <c r="A134">
        <v>315</v>
      </c>
      <c r="B134" t="str">
        <v>FERNANDO ARENAS GUTIERREZ</v>
      </c>
    </row>
    <row r="135">
      <c r="A135">
        <v>316</v>
      </c>
      <c r="B135" t="str">
        <v>FERNANDO ARENAS GUTIERREZ</v>
      </c>
    </row>
    <row r="136">
      <c r="A136" t="str">
        <v>166-1</v>
      </c>
      <c r="B136" t="str">
        <v>FERNANDO ARENAS GUTIERREZ</v>
      </c>
    </row>
    <row r="137">
      <c r="A137" t="str">
        <v>166-2</v>
      </c>
      <c r="B137" t="str">
        <v>FERNANDO ARENAS GUTIERREZ</v>
      </c>
    </row>
    <row r="138">
      <c r="A138" t="str">
        <v>166-3</v>
      </c>
      <c r="B138" t="str">
        <v>FERNANDO ARENAS GUTIERREZ</v>
      </c>
    </row>
    <row r="139">
      <c r="A139">
        <v>63</v>
      </c>
      <c r="B139" t="str">
        <v>FRANKLIEN SERGIO TRUJILLO ESPITIA</v>
      </c>
    </row>
    <row r="140">
      <c r="A140">
        <v>64</v>
      </c>
      <c r="B140" t="str">
        <v>FRANKLIEN SERGIO TRUJILLO ESPITIA</v>
      </c>
    </row>
    <row r="141">
      <c r="A141">
        <v>171</v>
      </c>
      <c r="B141" t="str">
        <v>FRANKLIEN SERGIO TRUJILLO ESPITIA</v>
      </c>
    </row>
    <row r="142">
      <c r="A142">
        <v>172</v>
      </c>
      <c r="B142" t="str">
        <v>FRANKLIEN SERGIO TRUJILLO ESPITIA</v>
      </c>
    </row>
    <row r="143">
      <c r="A143">
        <v>175</v>
      </c>
      <c r="B143" t="str">
        <v>FRANKLIEN SERGIO TRUJILLO ESPITIA</v>
      </c>
    </row>
    <row r="144">
      <c r="A144">
        <v>176</v>
      </c>
      <c r="B144" t="str">
        <v>FRANKLIEN SERGIO TRUJILLO ESPITIA</v>
      </c>
    </row>
    <row r="145">
      <c r="A145">
        <v>177</v>
      </c>
      <c r="B145" t="str">
        <v>FRANKLIEN SERGIO TRUJILLO ESPITIA</v>
      </c>
    </row>
    <row r="146">
      <c r="A146">
        <v>178</v>
      </c>
      <c r="B146" t="str">
        <v>FRANKLIEN SERGIO TRUJILLO ESPITIA</v>
      </c>
    </row>
    <row r="147">
      <c r="A147">
        <v>195</v>
      </c>
      <c r="B147" t="str">
        <v>FRANKLIEN SERGIO TRUJILLO ESPITIA</v>
      </c>
    </row>
    <row r="148">
      <c r="A148">
        <v>221</v>
      </c>
      <c r="B148" t="str">
        <v>FRANKLIEN SERGIO TRUJILLO ESPITIA</v>
      </c>
    </row>
    <row r="149">
      <c r="A149">
        <v>222</v>
      </c>
      <c r="B149" t="str">
        <v>FRANKLIEN SERGIO TRUJILLO ESPITIA</v>
      </c>
    </row>
    <row r="150">
      <c r="A150">
        <v>230</v>
      </c>
      <c r="B150" t="str">
        <v>FRANKLIEN SERGIO TRUJILLO ESPITIA</v>
      </c>
    </row>
    <row r="151">
      <c r="A151">
        <v>245</v>
      </c>
      <c r="B151" t="str">
        <v>FRANKLIEN SERGIO TRUJILLO ESPITIA</v>
      </c>
    </row>
    <row r="152">
      <c r="A152">
        <v>275</v>
      </c>
      <c r="B152" t="str">
        <v>FRANKLIEN SERGIO TRUJILLO ESPITIA</v>
      </c>
    </row>
    <row r="153">
      <c r="A153">
        <v>280</v>
      </c>
      <c r="B153" t="str">
        <v>FRANKLIEN SERGIO TRUJILLO ESPITIA</v>
      </c>
    </row>
    <row r="154">
      <c r="A154">
        <v>311</v>
      </c>
      <c r="B154" t="str">
        <v>FRANKLIEN SERGIO TRUJILLO ESPITIA</v>
      </c>
    </row>
    <row r="155">
      <c r="A155">
        <v>357</v>
      </c>
      <c r="B155" t="str">
        <v>FRANKLIEN SERGIO TRUJILLO ESPITIA</v>
      </c>
    </row>
    <row r="156">
      <c r="A156" t="str">
        <v>171A</v>
      </c>
      <c r="B156" t="str">
        <v>FRANKLIEN SERGIO TRUJILLO ESPITIA</v>
      </c>
    </row>
    <row r="157">
      <c r="A157" t="str">
        <v>176A</v>
      </c>
      <c r="B157" t="str">
        <v>FRANKLIEN SERGIO TRUJILLO ESPITIA</v>
      </c>
    </row>
    <row r="158">
      <c r="A158" t="str">
        <v>178A</v>
      </c>
      <c r="B158" t="str">
        <v>FRANKLIEN SERGIO TRUJILLO ESPITIA</v>
      </c>
    </row>
    <row r="159">
      <c r="A159" t="str">
        <v>275A</v>
      </c>
      <c r="B159" t="str">
        <v>FRANKLIEN SERGIO TRUJILLO ESPITIA</v>
      </c>
    </row>
    <row r="160">
      <c r="A160" t="str">
        <v>63A</v>
      </c>
      <c r="B160" t="str">
        <v>FRANKLIEN SERGIO TRUJILLO ESPITIA</v>
      </c>
    </row>
    <row r="161">
      <c r="A161">
        <v>43</v>
      </c>
      <c r="B161" t="str">
        <v>HECTOR DANIEL RUBIANO ORTIZ</v>
      </c>
    </row>
    <row r="162">
      <c r="A162">
        <v>44</v>
      </c>
      <c r="B162" t="str">
        <v>HECTOR DANIEL RUBIANO ORTIZ</v>
      </c>
    </row>
    <row r="163">
      <c r="A163">
        <v>45</v>
      </c>
      <c r="B163" t="str">
        <v>HECTOR DANIEL RUBIANO ORTIZ</v>
      </c>
    </row>
    <row r="164">
      <c r="A164">
        <v>46</v>
      </c>
      <c r="B164" t="str">
        <v>HECTOR DANIEL RUBIANO ORTIZ</v>
      </c>
    </row>
    <row r="165">
      <c r="A165">
        <v>47</v>
      </c>
      <c r="B165" t="str">
        <v>HECTOR DANIEL RUBIANO ORTIZ</v>
      </c>
    </row>
    <row r="166">
      <c r="A166">
        <v>48</v>
      </c>
      <c r="B166" t="str">
        <v>HECTOR DANIEL RUBIANO ORTIZ</v>
      </c>
    </row>
    <row r="167">
      <c r="A167">
        <v>49</v>
      </c>
      <c r="B167" t="str">
        <v>HECTOR DANIEL RUBIANO ORTIZ</v>
      </c>
    </row>
    <row r="168">
      <c r="A168">
        <v>111</v>
      </c>
      <c r="B168" t="str">
        <v>HECTOR DANIEL RUBIANO ORTIZ</v>
      </c>
    </row>
    <row r="169">
      <c r="A169">
        <v>112</v>
      </c>
      <c r="B169" t="str">
        <v>HECTOR DANIEL RUBIANO ORTIZ</v>
      </c>
    </row>
    <row r="170">
      <c r="A170">
        <v>250</v>
      </c>
      <c r="B170" t="str">
        <v>HECTOR DANIEL RUBIANO ORTIZ</v>
      </c>
    </row>
    <row r="171">
      <c r="A171">
        <v>309</v>
      </c>
      <c r="B171" t="str">
        <v>HECTOR DANIEL RUBIANO ORTIZ</v>
      </c>
    </row>
    <row r="172">
      <c r="A172">
        <v>318</v>
      </c>
      <c r="B172" t="str">
        <v>HECTOR DANIEL RUBIANO ORTIZ</v>
      </c>
    </row>
    <row r="173">
      <c r="A173" t="str">
        <v>44A</v>
      </c>
      <c r="B173" t="str">
        <v>HECTOR DANIEL RUBIANO ORTIZ</v>
      </c>
    </row>
    <row r="174">
      <c r="A174" t="str">
        <v>44B</v>
      </c>
      <c r="B174" t="str">
        <v>HECTOR DANIEL RUBIANO ORTIZ</v>
      </c>
    </row>
    <row r="175">
      <c r="A175">
        <v>23</v>
      </c>
      <c r="B175" t="str">
        <v>JAVIER MAURICIO SARMIENTO CARRERO</v>
      </c>
    </row>
    <row r="176">
      <c r="A176">
        <v>28</v>
      </c>
      <c r="B176" t="str">
        <v>JAVIER MAURICIO SARMIENTO CARRERO</v>
      </c>
    </row>
    <row r="177">
      <c r="A177">
        <v>149</v>
      </c>
      <c r="B177" t="str">
        <v>JAVIER MAURICIO SARMIENTO CARRERO</v>
      </c>
    </row>
    <row r="178">
      <c r="A178">
        <v>150</v>
      </c>
      <c r="B178" t="str">
        <v>JAVIER MAURICIO SARMIENTO CARRERO</v>
      </c>
    </row>
    <row r="179">
      <c r="A179">
        <v>152</v>
      </c>
      <c r="B179" t="str">
        <v>JAVIER MAURICIO SARMIENTO CARRERO</v>
      </c>
    </row>
    <row r="180">
      <c r="A180">
        <v>202</v>
      </c>
      <c r="B180" t="str">
        <v>JAVIER MAURICIO SARMIENTO CARRERO</v>
      </c>
    </row>
    <row r="181">
      <c r="A181">
        <v>206</v>
      </c>
      <c r="B181" t="str">
        <v>JAVIER MAURICIO SARMIENTO CARRERO</v>
      </c>
    </row>
    <row r="182">
      <c r="A182">
        <v>262</v>
      </c>
      <c r="B182" t="str">
        <v>JAVIER MAURICIO SARMIENTO CARRERO</v>
      </c>
    </row>
    <row r="183">
      <c r="A183">
        <v>331</v>
      </c>
      <c r="B183" t="str">
        <v>JAVIER MAURICIO SARMIENTO CARRERO</v>
      </c>
    </row>
    <row r="184">
      <c r="A184">
        <v>332</v>
      </c>
      <c r="B184" t="str">
        <v>JAVIER MAURICIO SARMIENTO CARRERO</v>
      </c>
    </row>
    <row r="185">
      <c r="A185">
        <v>333</v>
      </c>
      <c r="B185" t="str">
        <v>JAVIER MAURICIO SARMIENTO CARRERO</v>
      </c>
    </row>
    <row r="186">
      <c r="A186">
        <v>334</v>
      </c>
      <c r="B186" t="str">
        <v>JAVIER MAURICIO SARMIENTO CARRERO</v>
      </c>
    </row>
    <row r="187">
      <c r="A187">
        <v>335</v>
      </c>
      <c r="B187" t="str">
        <v>JAVIER MAURICIO SARMIENTO CARRERO</v>
      </c>
    </row>
    <row r="188">
      <c r="A188">
        <v>350</v>
      </c>
      <c r="B188" t="str">
        <v>JAVIER MAURICIO SARMIENTO CARRERO</v>
      </c>
    </row>
    <row r="189">
      <c r="A189" t="str">
        <v>137A</v>
      </c>
      <c r="B189" t="str">
        <v>JAVIER MAURICIO SARMIENTO CARRERO</v>
      </c>
    </row>
    <row r="190">
      <c r="A190" t="str">
        <v>149A</v>
      </c>
      <c r="B190" t="str">
        <v>JAVIER MAURICIO SARMIENTO CARRERO</v>
      </c>
    </row>
    <row r="191">
      <c r="A191">
        <v>252</v>
      </c>
      <c r="B191" t="str">
        <v>JAVIER MAURICIO SARMIENTO CARRERO</v>
      </c>
    </row>
    <row r="192">
      <c r="A192">
        <v>51</v>
      </c>
      <c r="B192" t="str">
        <v>JENNY ANDREA CABRERA ACERO</v>
      </c>
    </row>
    <row r="193">
      <c r="A193">
        <v>52</v>
      </c>
      <c r="B193" t="str">
        <v>JENNY ANDREA CABRERA ACERO</v>
      </c>
    </row>
    <row r="194">
      <c r="A194">
        <v>53</v>
      </c>
      <c r="B194" t="str">
        <v>JENNY ANDREA CABRERA ACERO</v>
      </c>
    </row>
    <row r="195">
      <c r="A195">
        <v>54</v>
      </c>
      <c r="B195" t="str">
        <v>JENNY ANDREA CABRERA ACERO</v>
      </c>
    </row>
    <row r="196">
      <c r="A196">
        <v>55</v>
      </c>
      <c r="B196" t="str">
        <v>JENNY ANDREA CABRERA ACERO</v>
      </c>
    </row>
    <row r="197">
      <c r="A197">
        <v>56</v>
      </c>
      <c r="B197" t="str">
        <v>JENNY ANDREA CABRERA ACERO</v>
      </c>
    </row>
    <row r="198">
      <c r="A198">
        <v>58</v>
      </c>
      <c r="B198" t="str">
        <v>JENNY ANDREA CABRERA ACERO</v>
      </c>
    </row>
    <row r="199">
      <c r="A199">
        <v>79</v>
      </c>
      <c r="B199" t="str">
        <v>JENNY ANDREA CABRERA ACERO</v>
      </c>
    </row>
    <row r="200">
      <c r="A200">
        <v>80</v>
      </c>
      <c r="B200" t="str">
        <v>JENNY ANDREA CABRERA ACERO</v>
      </c>
    </row>
    <row r="201">
      <c r="A201">
        <v>81</v>
      </c>
      <c r="B201" t="str">
        <v>JENNY ANDREA CABRERA ACERO</v>
      </c>
    </row>
    <row r="202">
      <c r="A202">
        <v>82</v>
      </c>
      <c r="B202" t="str">
        <v>JENNY ANDREA CABRERA ACERO</v>
      </c>
    </row>
    <row r="203">
      <c r="A203">
        <v>87</v>
      </c>
      <c r="B203" t="str">
        <v>JENNY ANDREA CABRERA ACERO</v>
      </c>
    </row>
    <row r="204">
      <c r="A204">
        <v>90</v>
      </c>
      <c r="B204" t="str">
        <v>JENNY ANDREA CABRERA ACERO</v>
      </c>
    </row>
    <row r="205">
      <c r="A205">
        <v>92</v>
      </c>
      <c r="B205" t="str">
        <v>JENNY ANDREA CABRERA ACERO</v>
      </c>
    </row>
    <row r="206">
      <c r="A206">
        <v>95</v>
      </c>
      <c r="B206" t="str">
        <v>JENNY ANDREA CABRERA ACERO</v>
      </c>
    </row>
    <row r="207">
      <c r="A207">
        <v>210</v>
      </c>
      <c r="B207" t="str">
        <v>JENNY ANDREA CABRERA ACERO</v>
      </c>
    </row>
    <row r="208">
      <c r="A208">
        <v>296</v>
      </c>
      <c r="B208" t="str">
        <v>JENNY ANDREA CABRERA ACERO</v>
      </c>
    </row>
    <row r="209">
      <c r="A209">
        <v>341</v>
      </c>
      <c r="B209" t="str">
        <v>JENNY ANDREA CABRERA ACERO</v>
      </c>
    </row>
    <row r="210">
      <c r="A210" t="str">
        <v>53A</v>
      </c>
      <c r="B210" t="str">
        <v>JENNY ANDREA CABRERA ACERO</v>
      </c>
    </row>
    <row r="211">
      <c r="A211">
        <v>327</v>
      </c>
      <c r="B211" t="str">
        <v>JENNY ANDREA CABRERA ACERO</v>
      </c>
    </row>
    <row r="212">
      <c r="A212">
        <v>328</v>
      </c>
      <c r="B212" t="str">
        <v>JENNY ANDREA CABRERA ACERO</v>
      </c>
    </row>
    <row r="213">
      <c r="A213" t="str">
        <v>90-3</v>
      </c>
      <c r="B213" t="str">
        <v>JENNY ANDREA CABRERA ACERO</v>
      </c>
    </row>
    <row r="214">
      <c r="A214">
        <v>325</v>
      </c>
      <c r="B214" t="str">
        <v>JENNY ANDREA CABRERA ACERO</v>
      </c>
    </row>
    <row r="215">
      <c r="A215">
        <v>326</v>
      </c>
      <c r="B215" t="str">
        <v>JENNY ANDREA CABRERA ACERO</v>
      </c>
    </row>
    <row r="216">
      <c r="A216">
        <v>329</v>
      </c>
      <c r="B216" t="str">
        <v>JENNY ANDREA CABRERA ACERO</v>
      </c>
    </row>
    <row r="217">
      <c r="A217">
        <v>2</v>
      </c>
      <c r="B217" t="str">
        <v>JONATHAN KIN ACOSTA MUÑOZ</v>
      </c>
    </row>
    <row r="218">
      <c r="A218">
        <v>4</v>
      </c>
      <c r="B218" t="str">
        <v>JONATHAN KIN ACOSTA MUÑOZ</v>
      </c>
    </row>
    <row r="219">
      <c r="A219">
        <v>14</v>
      </c>
      <c r="B219" t="str">
        <v>JONATHAN KIN ACOSTA MUÑOZ</v>
      </c>
    </row>
    <row r="220">
      <c r="A220">
        <v>16</v>
      </c>
      <c r="B220" t="str">
        <v>JONATHAN KIN ACOSTA MUÑOZ</v>
      </c>
    </row>
    <row r="221">
      <c r="A221">
        <v>17</v>
      </c>
      <c r="B221" t="str">
        <v>JONATHAN KIN ACOSTA MUÑOZ</v>
      </c>
    </row>
    <row r="222">
      <c r="A222">
        <v>50</v>
      </c>
      <c r="B222" t="str">
        <v>JONATHAN KIN ACOSTA MUÑOZ</v>
      </c>
    </row>
    <row r="223">
      <c r="A223">
        <v>219</v>
      </c>
      <c r="B223" t="str">
        <v>JONATHAN KIN ACOSTA MUÑOZ</v>
      </c>
    </row>
    <row r="224">
      <c r="A224">
        <v>293</v>
      </c>
      <c r="B224" t="str">
        <v>JONATHAN KIN ACOSTA MUÑOZ</v>
      </c>
    </row>
    <row r="225">
      <c r="A225">
        <v>304</v>
      </c>
      <c r="B225" t="str">
        <v>JONATHAN KIN ACOSTA MUÑOZ</v>
      </c>
    </row>
    <row r="226">
      <c r="A226">
        <v>307</v>
      </c>
      <c r="B226" t="str">
        <v>JONATHAN KIN ACOSTA MUÑOZ</v>
      </c>
    </row>
    <row r="227">
      <c r="A227">
        <v>360</v>
      </c>
      <c r="B227" t="str">
        <v>JONATHAN KIN ACOSTA MUÑOZ</v>
      </c>
    </row>
    <row r="228">
      <c r="A228">
        <v>361</v>
      </c>
      <c r="B228" t="str">
        <v>JONATHAN KIN ACOSTA MUÑOZ</v>
      </c>
    </row>
    <row r="229">
      <c r="A229" t="str">
        <v>2A</v>
      </c>
      <c r="B229" t="str">
        <v>JONATHAN KIN ACOSTA MUÑOZ</v>
      </c>
    </row>
    <row r="230">
      <c r="A230" t="str">
        <v>2B</v>
      </c>
      <c r="B230" t="str">
        <v>JONATHAN KIN ACOSTA MUÑOZ</v>
      </c>
    </row>
    <row r="231">
      <c r="A231" t="str">
        <v>2C</v>
      </c>
      <c r="B231" t="str">
        <v>JONATHAN KIN ACOSTA MUÑOZ</v>
      </c>
    </row>
    <row r="232">
      <c r="A232">
        <v>295</v>
      </c>
      <c r="B232" t="str">
        <v>JONATHAN KIN ACOSTA MUÑOZ</v>
      </c>
    </row>
    <row r="233">
      <c r="A233">
        <v>267</v>
      </c>
      <c r="B233" t="str">
        <v>JONATHAN KIN ACOSTA MUÑOZ</v>
      </c>
    </row>
    <row r="234">
      <c r="A234">
        <v>367</v>
      </c>
      <c r="B234" t="str">
        <v>JONATHAN KIN ACOSTA MUÑOZ</v>
      </c>
    </row>
    <row r="235">
      <c r="A235">
        <v>65</v>
      </c>
      <c r="B235" t="str">
        <v>JULIAN LEONARDO GARCIA GARZON</v>
      </c>
    </row>
    <row r="236">
      <c r="A236">
        <v>66</v>
      </c>
      <c r="B236" t="str">
        <v>JULIAN LEONARDO GARCIA GARZON</v>
      </c>
    </row>
    <row r="237">
      <c r="A237">
        <v>67</v>
      </c>
      <c r="B237" t="str">
        <v>JULIAN LEONARDO GARCIA GARZON</v>
      </c>
    </row>
    <row r="238">
      <c r="A238">
        <v>68</v>
      </c>
      <c r="B238" t="str">
        <v>JULIAN LEONARDO GARCIA GARZON</v>
      </c>
    </row>
    <row r="239">
      <c r="A239">
        <v>69</v>
      </c>
      <c r="B239" t="str">
        <v>JULIAN LEONARDO GARCIA GARZON</v>
      </c>
    </row>
    <row r="240">
      <c r="A240">
        <v>319</v>
      </c>
      <c r="B240" t="str">
        <v>JULIAN LEONARDO GARCIA GARZON</v>
      </c>
    </row>
    <row r="241">
      <c r="A241">
        <v>320</v>
      </c>
      <c r="B241" t="str">
        <v>JULIAN LEONARDO GARCIA GARZON</v>
      </c>
    </row>
    <row r="242">
      <c r="A242">
        <v>342</v>
      </c>
      <c r="B242" t="str">
        <v>JULIAN LEONARDO GARCIA GARZON</v>
      </c>
    </row>
    <row r="243">
      <c r="A243" t="str">
        <v>66A</v>
      </c>
      <c r="B243" t="str">
        <v>JULIAN LEONARDO GARCIA GARZON</v>
      </c>
    </row>
    <row r="244">
      <c r="A244">
        <v>300</v>
      </c>
      <c r="B244" t="str">
        <v>JULIAN LEONARDO GARCIA GARZON</v>
      </c>
    </row>
    <row r="245">
      <c r="A245">
        <v>255</v>
      </c>
      <c r="B245" t="str">
        <v>JULIAN LEONARDO GARCIA GARZON</v>
      </c>
    </row>
    <row r="246">
      <c r="A246">
        <v>321</v>
      </c>
      <c r="B246" t="str">
        <v>JULIAN LEONARDO GARCIA GARZON</v>
      </c>
    </row>
    <row r="247">
      <c r="A247">
        <v>322</v>
      </c>
      <c r="B247" t="str">
        <v>JULIAN LEONARDO GARCIA GARZON</v>
      </c>
    </row>
    <row r="248">
      <c r="A248">
        <v>19</v>
      </c>
      <c r="B248" t="str">
        <v>LUIS CARLOS CALVO ARAUJO</v>
      </c>
    </row>
    <row r="249">
      <c r="A249">
        <v>20</v>
      </c>
      <c r="B249" t="str">
        <v>LUIS CARLOS CALVO ARAUJO</v>
      </c>
    </row>
    <row r="250">
      <c r="A250">
        <v>173</v>
      </c>
      <c r="B250" t="str">
        <v>LUIS CARLOS CALVO ARAUJO</v>
      </c>
    </row>
    <row r="251">
      <c r="A251">
        <v>174</v>
      </c>
      <c r="B251" t="str">
        <v>LUIS CARLOS CALVO ARAUJO</v>
      </c>
    </row>
    <row r="252">
      <c r="A252">
        <v>192</v>
      </c>
      <c r="B252" t="str">
        <v>LUIS CARLOS CALVO ARAUJO</v>
      </c>
    </row>
    <row r="253">
      <c r="A253">
        <v>198</v>
      </c>
      <c r="B253" t="str">
        <v>LUIS CARLOS CALVO ARAUJO</v>
      </c>
    </row>
    <row r="254">
      <c r="A254">
        <v>271</v>
      </c>
      <c r="B254" t="str">
        <v>LUIS CARLOS CALVO ARAUJO</v>
      </c>
    </row>
    <row r="255">
      <c r="A255" t="str">
        <v>19A</v>
      </c>
      <c r="B255" t="str">
        <v>LUIS CARLOS CALVO ARAUJO</v>
      </c>
    </row>
    <row r="256">
      <c r="A256">
        <v>298</v>
      </c>
      <c r="B256" t="str">
        <v>LUIS CARLOS CALVO ARAUJO</v>
      </c>
    </row>
    <row r="257">
      <c r="A257">
        <v>310</v>
      </c>
      <c r="B257" t="str">
        <v>LUIS CARLOS CALVO ARAUJO</v>
      </c>
    </row>
    <row r="258">
      <c r="A258" t="str">
        <v>173A</v>
      </c>
      <c r="B258" t="str">
        <v>LUIS CARLOS CALVO ARAUJO</v>
      </c>
    </row>
    <row r="259">
      <c r="A259">
        <v>346</v>
      </c>
      <c r="B259" t="str">
        <v>LUIS CARLOS CALVO ARAUJO</v>
      </c>
    </row>
    <row r="260">
      <c r="A260">
        <v>352</v>
      </c>
      <c r="B260" t="str">
        <v>LUIS CARLOS CALVO ARAUJO</v>
      </c>
    </row>
    <row r="261">
      <c r="A261">
        <v>287</v>
      </c>
      <c r="B261" t="str">
        <v>LUIS CARLOS CALVO ARAUJO</v>
      </c>
    </row>
    <row r="262">
      <c r="A262">
        <v>288</v>
      </c>
      <c r="B262" t="str">
        <v>LUIS CARLOS CALVO ARAUJO</v>
      </c>
    </row>
    <row r="263">
      <c r="A263">
        <v>297</v>
      </c>
      <c r="B263" t="str">
        <v>LUIS CARLOS CALVO ARAUJO</v>
      </c>
    </row>
    <row r="264">
      <c r="A264">
        <v>273</v>
      </c>
      <c r="B264" t="str">
        <v>LUIS CARLOS CALVO ARAUJO</v>
      </c>
    </row>
    <row r="265">
      <c r="A265">
        <v>347</v>
      </c>
      <c r="B265" t="str">
        <v>LUIS CARLOS CALVO ARAUJO</v>
      </c>
    </row>
    <row r="266">
      <c r="A266">
        <v>356</v>
      </c>
      <c r="B266" t="str">
        <v>LUIS CARLOS CALVO ARAUJO</v>
      </c>
    </row>
    <row r="267">
      <c r="A267">
        <v>354</v>
      </c>
      <c r="B267" t="str">
        <v>LUIS CARLOS CALVO ARAUJO</v>
      </c>
    </row>
    <row r="268">
      <c r="A268">
        <v>31</v>
      </c>
      <c r="B268" t="str">
        <v>LUIS ERNESTO GERENA SALAS</v>
      </c>
    </row>
    <row r="269">
      <c r="A269">
        <v>35</v>
      </c>
      <c r="B269" t="str">
        <v>LUIS ERNESTO GERENA SALAS</v>
      </c>
    </row>
    <row r="270">
      <c r="A270">
        <v>37</v>
      </c>
      <c r="B270" t="str">
        <v>LUIS ERNESTO GERENA SALAS</v>
      </c>
    </row>
    <row r="271">
      <c r="A271">
        <v>41</v>
      </c>
      <c r="B271" t="str">
        <v>LUIS ERNESTO GERENA SALAS</v>
      </c>
    </row>
    <row r="272">
      <c r="A272">
        <v>42</v>
      </c>
      <c r="B272" t="str">
        <v>LUIS ERNESTO GERENA SALAS</v>
      </c>
    </row>
    <row r="273">
      <c r="A273">
        <v>89</v>
      </c>
      <c r="B273" t="str">
        <v>LUIS ERNESTO GERENA SALAS</v>
      </c>
    </row>
    <row r="274">
      <c r="A274">
        <v>184</v>
      </c>
      <c r="B274" t="str">
        <v>LUIS ERNESTO GERENA SALAS</v>
      </c>
    </row>
    <row r="275">
      <c r="A275">
        <v>196</v>
      </c>
      <c r="B275" t="str">
        <v>LUIS ERNESTO GERENA SALAS</v>
      </c>
    </row>
    <row r="276">
      <c r="A276">
        <v>305</v>
      </c>
      <c r="B276" t="str">
        <v>LUIS ERNESTO GERENA SALAS</v>
      </c>
    </row>
    <row r="277">
      <c r="A277">
        <v>5</v>
      </c>
      <c r="B277" t="str">
        <v>MANUEL RENE CEPEDA VELASCO</v>
      </c>
    </row>
    <row r="278">
      <c r="A278">
        <v>7</v>
      </c>
      <c r="B278" t="str">
        <v>MANUEL RENE CEPEDA VELASCO</v>
      </c>
    </row>
    <row r="279">
      <c r="A279">
        <v>8</v>
      </c>
      <c r="B279" t="str">
        <v>MANUEL RENE CEPEDA VELASCO</v>
      </c>
    </row>
    <row r="280">
      <c r="A280">
        <v>10</v>
      </c>
      <c r="B280" t="str">
        <v>MANUEL RENE CEPEDA VELASCO</v>
      </c>
    </row>
    <row r="281">
      <c r="A281">
        <v>11</v>
      </c>
      <c r="B281" t="str">
        <v>MANUEL RENE CEPEDA VELASCO</v>
      </c>
    </row>
    <row r="282">
      <c r="A282">
        <v>13</v>
      </c>
      <c r="B282" t="str">
        <v>MANUEL RENE CEPEDA VELASCO</v>
      </c>
    </row>
    <row r="283">
      <c r="A283">
        <v>15</v>
      </c>
      <c r="B283" t="str">
        <v>MANUEL RENE CEPEDA VELASCO</v>
      </c>
    </row>
    <row r="284">
      <c r="A284">
        <v>151</v>
      </c>
      <c r="B284" t="str">
        <v>MANUEL RENE CEPEDA VELASCO</v>
      </c>
    </row>
    <row r="285">
      <c r="A285">
        <v>187</v>
      </c>
      <c r="B285" t="str">
        <v>MANUEL RENE CEPEDA VELASCO</v>
      </c>
    </row>
    <row r="286">
      <c r="A286">
        <v>227</v>
      </c>
      <c r="B286" t="str">
        <v>MANUEL RENE CEPEDA VELASCO</v>
      </c>
    </row>
    <row r="287">
      <c r="A287" t="str">
        <v>8A</v>
      </c>
      <c r="B287" t="str">
        <v>MANUEL RENE CEPEDA VELASCO</v>
      </c>
    </row>
    <row r="288">
      <c r="A288" t="str">
        <v>8B</v>
      </c>
      <c r="B288" t="str">
        <v>MANUEL RENE CEPEDA VELASCO</v>
      </c>
    </row>
    <row r="289">
      <c r="A289">
        <v>349</v>
      </c>
      <c r="B289" t="str">
        <v>MANUEL RENE CEPEDA VELASCO</v>
      </c>
    </row>
    <row r="290">
      <c r="A290">
        <v>75</v>
      </c>
      <c r="B290" t="str">
        <v>MILDRED YULIANA SAAVEDRA AGUILAR</v>
      </c>
    </row>
    <row r="291">
      <c r="A291">
        <v>76</v>
      </c>
      <c r="B291" t="str">
        <v>MILDRED YULIANA SAAVEDRA AGUILAR</v>
      </c>
    </row>
    <row r="292">
      <c r="A292">
        <v>77</v>
      </c>
      <c r="B292" t="str">
        <v>MILDRED YULIANA SAAVEDRA AGUILAR</v>
      </c>
    </row>
    <row r="293">
      <c r="A293">
        <v>125</v>
      </c>
      <c r="B293" t="str">
        <v>MILDRED YULIANA SAAVEDRA AGUILAR</v>
      </c>
    </row>
    <row r="294">
      <c r="A294">
        <v>126</v>
      </c>
      <c r="B294" t="str">
        <v>MILDRED YULIANA SAAVEDRA AGUILAR</v>
      </c>
    </row>
    <row r="295">
      <c r="A295">
        <v>127</v>
      </c>
      <c r="B295" t="str">
        <v>MILDRED YULIANA SAAVEDRA AGUILAR</v>
      </c>
    </row>
    <row r="296">
      <c r="A296">
        <v>128</v>
      </c>
      <c r="B296" t="str">
        <v>MILDRED YULIANA SAAVEDRA AGUILAR</v>
      </c>
    </row>
    <row r="297">
      <c r="A297">
        <v>130</v>
      </c>
      <c r="B297" t="str">
        <v>MILDRED YULIANA SAAVEDRA AGUILAR</v>
      </c>
    </row>
    <row r="298">
      <c r="A298">
        <v>137</v>
      </c>
      <c r="B298" t="str">
        <v>MILDRED YULIANA SAAVEDRA AGUILAR</v>
      </c>
    </row>
    <row r="299">
      <c r="A299">
        <v>142</v>
      </c>
      <c r="B299" t="str">
        <v>MILDRED YULIANA SAAVEDRA AGUILAR</v>
      </c>
    </row>
    <row r="300">
      <c r="A300">
        <v>191</v>
      </c>
      <c r="B300" t="str">
        <v>MILDRED YULIANA SAAVEDRA AGUILAR</v>
      </c>
    </row>
    <row r="301">
      <c r="A301">
        <v>201</v>
      </c>
      <c r="B301" t="str">
        <v>MILDRED YULIANA SAAVEDRA AGUILAR</v>
      </c>
    </row>
    <row r="302">
      <c r="A302" t="str">
        <v>127B</v>
      </c>
      <c r="B302" t="str">
        <v>MILDRED YULIANA SAAVEDRA AGUILAR</v>
      </c>
    </row>
    <row r="303">
      <c r="A303">
        <v>301</v>
      </c>
      <c r="B303" t="str">
        <v>MILDRED YULIANA SAAVEDRA AGUILAR</v>
      </c>
    </row>
    <row r="304">
      <c r="A304">
        <v>312</v>
      </c>
      <c r="B304" t="str">
        <v>MILDRED YULIANA SAAVEDRA AGUILAR</v>
      </c>
    </row>
    <row r="305">
      <c r="A305">
        <v>348</v>
      </c>
      <c r="B305" t="str">
        <v>MILDRED YULIANA SAAVEDRA AGUILAR</v>
      </c>
    </row>
    <row r="306">
      <c r="A306">
        <v>259</v>
      </c>
      <c r="B306" t="str">
        <v>MILDRED YULIANA SAAVEDRA AGUILAR</v>
      </c>
    </row>
    <row r="307">
      <c r="A307">
        <v>257</v>
      </c>
      <c r="B307" t="str">
        <v>MILDRED YULIANA SAAVEDRA AGUILAR</v>
      </c>
    </row>
    <row r="308">
      <c r="A308">
        <v>242</v>
      </c>
      <c r="B308" t="str">
        <v>MILDRED YULIANA SAAVEDRA AGUILAR</v>
      </c>
    </row>
    <row r="309">
      <c r="A309">
        <v>277</v>
      </c>
      <c r="B309" t="str">
        <v>MILDRED YULIANA SAAVEDRA AGUILAR</v>
      </c>
    </row>
    <row r="310">
      <c r="A310">
        <v>279</v>
      </c>
      <c r="B310" t="str">
        <v>MILDRED YULIANA SAAVEDRA AGUILAR</v>
      </c>
    </row>
    <row r="311">
      <c r="A311" t="str">
        <v>127A</v>
      </c>
      <c r="B311" t="str">
        <v>MILDRED YULIANA SAAVEDRA AGUILAR</v>
      </c>
    </row>
    <row r="312">
      <c r="A312" t="str">
        <v>75A</v>
      </c>
      <c r="B312" t="str">
        <v>MILDRED YULIANA SAAVEDRA AGUILAR</v>
      </c>
    </row>
    <row r="313">
      <c r="A313">
        <v>59</v>
      </c>
      <c r="B313" t="str">
        <v>MILENA KARINA CUBILLOS AVILA</v>
      </c>
    </row>
    <row r="314">
      <c r="A314">
        <v>60</v>
      </c>
      <c r="B314" t="str">
        <v>MILENA KARINA CUBILLOS AVILA</v>
      </c>
    </row>
    <row r="315">
      <c r="A315">
        <v>131</v>
      </c>
      <c r="B315" t="str">
        <v>MILENA KARINA CUBILLOS AVILA</v>
      </c>
    </row>
    <row r="316">
      <c r="A316">
        <v>132</v>
      </c>
      <c r="B316" t="str">
        <v>MILENA KARINA CUBILLOS AVILA</v>
      </c>
    </row>
    <row r="317">
      <c r="A317">
        <v>138</v>
      </c>
      <c r="B317" t="str">
        <v>MILENA KARINA CUBILLOS AVILA</v>
      </c>
    </row>
    <row r="318">
      <c r="A318">
        <v>197</v>
      </c>
      <c r="B318" t="str">
        <v>MILENA KARINA CUBILLOS AVILA</v>
      </c>
    </row>
    <row r="319">
      <c r="A319">
        <v>232</v>
      </c>
      <c r="B319" t="str">
        <v>MILENA KARINA CUBILLOS AVILA</v>
      </c>
    </row>
    <row r="320">
      <c r="A320">
        <v>330</v>
      </c>
      <c r="B320" t="str">
        <v>MILENA KARINA CUBILLOS AVILA</v>
      </c>
    </row>
    <row r="321">
      <c r="A321" t="str">
        <v>132A</v>
      </c>
      <c r="B321" t="str">
        <v>MILENA KARINA CUBILLOS AVILA</v>
      </c>
    </row>
    <row r="322">
      <c r="A322" t="str">
        <v>59A</v>
      </c>
      <c r="B322" t="str">
        <v>MILENA KARINA CUBILLOS AVILA</v>
      </c>
    </row>
    <row r="323">
      <c r="A323" t="str">
        <v>59B</v>
      </c>
      <c r="B323" t="str">
        <v>MILENA KARINA CUBILLOS AVILA</v>
      </c>
    </row>
    <row r="324">
      <c r="A324">
        <v>246</v>
      </c>
      <c r="B324" t="str">
        <v>MILENA KARINA CUBILLOS AVILA</v>
      </c>
    </row>
    <row r="325">
      <c r="A325" t="str">
        <v>59C</v>
      </c>
      <c r="B325" t="str">
        <v>MILENA KARINA CUBILLOS AVILA</v>
      </c>
    </row>
    <row r="326">
      <c r="A326" t="str">
        <v>59D</v>
      </c>
      <c r="B326" t="str">
        <v>MILENA KARINA CUBILLOS AVILA</v>
      </c>
    </row>
    <row r="327">
      <c r="A327">
        <v>57</v>
      </c>
      <c r="B327" t="str">
        <v>NAYIBE XIMENA PICO ESPITA</v>
      </c>
    </row>
    <row r="328">
      <c r="A328">
        <v>140</v>
      </c>
      <c r="B328" t="str">
        <v>NAYIBE XIMENA PICO ESPITA</v>
      </c>
    </row>
    <row r="329">
      <c r="A329">
        <v>143</v>
      </c>
      <c r="B329" t="str">
        <v>NAYIBE XIMENA PICO ESPITA</v>
      </c>
    </row>
    <row r="330">
      <c r="A330">
        <v>144</v>
      </c>
      <c r="B330" t="str">
        <v>NAYIBE XIMENA PICO ESPITA</v>
      </c>
    </row>
    <row r="331">
      <c r="A331">
        <v>145</v>
      </c>
      <c r="B331" t="str">
        <v>NAYIBE XIMENA PICO ESPITA</v>
      </c>
    </row>
    <row r="332">
      <c r="A332">
        <v>146</v>
      </c>
      <c r="B332" t="str">
        <v>NAYIBE XIMENA PICO ESPITA</v>
      </c>
    </row>
    <row r="333">
      <c r="A333">
        <v>147</v>
      </c>
      <c r="B333" t="str">
        <v>NAYIBE XIMENA PICO ESPITA</v>
      </c>
    </row>
    <row r="334">
      <c r="A334">
        <v>148</v>
      </c>
      <c r="B334" t="str">
        <v>NAYIBE XIMENA PICO ESPITA</v>
      </c>
    </row>
    <row r="335">
      <c r="A335">
        <v>193</v>
      </c>
      <c r="B335" t="str">
        <v>NAYIBE XIMENA PICO ESPITA</v>
      </c>
    </row>
    <row r="336">
      <c r="A336">
        <v>203</v>
      </c>
      <c r="B336" t="str">
        <v>NAYIBE XIMENA PICO ESPITA</v>
      </c>
    </row>
    <row r="337">
      <c r="A337">
        <v>211</v>
      </c>
      <c r="B337" t="str">
        <v>NAYIBE XIMENA PICO ESPITA</v>
      </c>
    </row>
    <row r="338">
      <c r="A338">
        <v>254</v>
      </c>
      <c r="B338" t="str">
        <v>NAYIBE XIMENA PICO ESPITA</v>
      </c>
    </row>
    <row r="339">
      <c r="A339">
        <v>302</v>
      </c>
      <c r="B339" t="str">
        <v>NAYIBE XIMENA PICO ESPITA</v>
      </c>
    </row>
    <row r="340">
      <c r="A340">
        <v>336</v>
      </c>
      <c r="B340" t="str">
        <v>NAYIBE XIMENA PICO ESPITA</v>
      </c>
    </row>
    <row r="341">
      <c r="A341">
        <v>339</v>
      </c>
      <c r="B341" t="str">
        <v>NAYIBE XIMENA PICO ESPITA</v>
      </c>
    </row>
    <row r="342">
      <c r="A342">
        <v>359</v>
      </c>
      <c r="B342" t="str">
        <v>NAYIBE XIMENA PICO ESPITA</v>
      </c>
    </row>
    <row r="343">
      <c r="A343">
        <v>365</v>
      </c>
      <c r="B343" t="str">
        <v>NAYIBE XIMENA PICO ESPITA</v>
      </c>
    </row>
    <row r="344">
      <c r="A344">
        <v>139</v>
      </c>
      <c r="B344" t="str">
        <v>NAYIBE XIMENA PICO ESPITA</v>
      </c>
    </row>
    <row r="345">
      <c r="A345">
        <v>340</v>
      </c>
      <c r="B345" t="str">
        <v>NAYIBE XIMENA PICO ESPITA</v>
      </c>
    </row>
    <row r="346">
      <c r="A346" t="str">
        <v>119A</v>
      </c>
      <c r="B346" t="str">
        <v>NIDIA ESPINOSA RODRIGUEZ</v>
      </c>
    </row>
    <row r="347">
      <c r="A347">
        <v>119</v>
      </c>
      <c r="B347" t="str">
        <v>NIDIA ESPINOSA RODRIGUEZ</v>
      </c>
    </row>
    <row r="348">
      <c r="A348">
        <v>120</v>
      </c>
      <c r="B348" t="str">
        <v>NIDIA ESPINOSA RODRIGUEZ</v>
      </c>
    </row>
    <row r="349">
      <c r="A349">
        <v>158</v>
      </c>
      <c r="B349" t="str">
        <v>NIDIA ESPINOSA RODRIGUEZ</v>
      </c>
    </row>
    <row r="350">
      <c r="A350">
        <v>159</v>
      </c>
      <c r="B350" t="str">
        <v>NIDIA ESPINOSA RODRIGUEZ</v>
      </c>
    </row>
    <row r="351">
      <c r="A351">
        <v>180</v>
      </c>
      <c r="B351" t="str">
        <v>NIDIA ESPINOSA RODRIGUEZ</v>
      </c>
    </row>
    <row r="352">
      <c r="A352">
        <v>181</v>
      </c>
      <c r="B352" t="str">
        <v>NIDIA ESPINOSA RODRIGUEZ</v>
      </c>
    </row>
    <row r="353">
      <c r="A353">
        <v>182</v>
      </c>
      <c r="B353" t="str">
        <v>NIDIA ESPINOSA RODRIGUEZ</v>
      </c>
    </row>
    <row r="354">
      <c r="A354">
        <v>190</v>
      </c>
      <c r="B354" t="str">
        <v>NIDIA ESPINOSA RODRIGUEZ</v>
      </c>
    </row>
    <row r="355">
      <c r="A355">
        <v>218</v>
      </c>
      <c r="B355" t="str">
        <v>NIDIA ESPINOSA RODRIGUEZ</v>
      </c>
    </row>
    <row r="356">
      <c r="A356">
        <v>364</v>
      </c>
      <c r="B356" t="str">
        <v>NIDIA ESPINOSA RODRIGUEZ</v>
      </c>
    </row>
    <row r="357">
      <c r="A357">
        <v>368</v>
      </c>
      <c r="B357" t="str">
        <v>NIDIA ESPINOSA RODRIGUEZ</v>
      </c>
    </row>
    <row r="358">
      <c r="A358" t="str">
        <v>158B</v>
      </c>
      <c r="B358" t="str">
        <v>NIDIA ESPINOSA RODRIGUEZ</v>
      </c>
    </row>
    <row r="359">
      <c r="A359" t="str">
        <v>158C</v>
      </c>
      <c r="B359" t="str">
        <v>NIDIA ESPINOSA RODRIGUEZ</v>
      </c>
    </row>
    <row r="360">
      <c r="A360" t="str">
        <v>158D</v>
      </c>
      <c r="B360" t="str">
        <v>NIDIA ESPINOSA RODRIGUEZ</v>
      </c>
    </row>
    <row r="361">
      <c r="A361" t="str">
        <v>158A</v>
      </c>
      <c r="B361" t="str">
        <v>NIDIA ESPINOSA RODRIGUEZ</v>
      </c>
    </row>
    <row r="362">
      <c r="A362">
        <v>270</v>
      </c>
      <c r="B362" t="str">
        <v>NIDIA ESPINOSA RODRIGUEZ</v>
      </c>
    </row>
    <row r="363">
      <c r="A363">
        <v>355</v>
      </c>
      <c r="B363" t="str">
        <v>NIDIA ESPINOSA RODRIGUEZ</v>
      </c>
    </row>
    <row r="364">
      <c r="A364">
        <v>25</v>
      </c>
      <c r="B364" t="str">
        <v>RODRIGO ANDRES PITO MENESES</v>
      </c>
    </row>
    <row r="365">
      <c r="A365">
        <v>26</v>
      </c>
      <c r="B365" t="str">
        <v>RODRIGO ANDRES PITO MENESES</v>
      </c>
    </row>
    <row r="366">
      <c r="A366">
        <v>32</v>
      </c>
      <c r="B366" t="str">
        <v>RODRIGO ANDRES PITO MENESES</v>
      </c>
    </row>
    <row r="367">
      <c r="A367">
        <v>33</v>
      </c>
      <c r="B367" t="str">
        <v>RODRIGO ANDRES PITO MENESES</v>
      </c>
    </row>
    <row r="368">
      <c r="A368">
        <v>34</v>
      </c>
      <c r="B368" t="str">
        <v>RODRIGO ANDRES PITO MENESES</v>
      </c>
    </row>
    <row r="369">
      <c r="A369">
        <v>78</v>
      </c>
      <c r="B369" t="str">
        <v>RODRIGO ANDRES PITO MENESES</v>
      </c>
    </row>
    <row r="370">
      <c r="A370" t="str">
        <v>25A</v>
      </c>
      <c r="B370" t="str">
        <v>RODRIGO ANDRES PITO MENESES</v>
      </c>
    </row>
    <row r="371">
      <c r="A371" t="str">
        <v>25B</v>
      </c>
      <c r="B371" t="str">
        <v>RODRIGO ANDRES PITO MENESES</v>
      </c>
    </row>
    <row r="372">
      <c r="A372" t="str">
        <v>25C</v>
      </c>
      <c r="B372" t="str">
        <v>RODRIGO ANDRES PITO MENESES</v>
      </c>
    </row>
    <row r="373">
      <c r="A373">
        <v>343</v>
      </c>
      <c r="B373" t="str">
        <v>RODRIGO ANDRES PITO MENESES</v>
      </c>
    </row>
    <row r="374">
      <c r="A374">
        <v>21</v>
      </c>
      <c r="B374" t="str">
        <v>SHIRLEY JUHA PEÑA</v>
      </c>
    </row>
    <row r="375">
      <c r="A375">
        <v>272</v>
      </c>
      <c r="B375" t="str">
        <v>SHIRLEY JUHA PEÑA</v>
      </c>
    </row>
    <row r="376">
      <c r="A376">
        <v>274</v>
      </c>
      <c r="B376" t="str">
        <v>SHIRLEY JUHA PEÑA</v>
      </c>
    </row>
    <row r="377">
      <c r="A377">
        <v>303</v>
      </c>
      <c r="B377" t="str">
        <v>SHIRLEY JUHA PEÑA</v>
      </c>
    </row>
    <row r="378">
      <c r="A378">
        <v>351</v>
      </c>
      <c r="B378" t="str">
        <v>SHIRLEY JUHA PEÑA</v>
      </c>
    </row>
    <row r="379">
      <c r="A379">
        <v>251</v>
      </c>
      <c r="B379" t="str">
        <v>SHIRLEY JUHA PEÑA</v>
      </c>
    </row>
    <row r="380">
      <c r="A380">
        <v>289</v>
      </c>
      <c r="B380" t="str">
        <v>SHIRLEY JUHA PEÑA</v>
      </c>
    </row>
    <row r="381">
      <c r="A381">
        <v>290</v>
      </c>
      <c r="B381" t="str">
        <v>SHIRLEY JUHA PEÑA</v>
      </c>
    </row>
    <row r="382">
      <c r="A382">
        <v>314</v>
      </c>
      <c r="B382" t="str">
        <v>SHIRLEY JUHA PEÑA</v>
      </c>
    </row>
    <row r="383">
      <c r="A383">
        <v>353</v>
      </c>
      <c r="B383" t="str">
        <v>SHIRLEY JUHA PEÑA</v>
      </c>
    </row>
    <row r="384">
      <c r="A384" t="str">
        <v>21A</v>
      </c>
      <c r="B384" t="str">
        <v>SHIRLEY JUHA PEÑA</v>
      </c>
    </row>
  </sheetData>
  <pageMargins left="0.7" right="0.7" top="0.75" bottom="0.75" header="0" footer="0"/>
  <ignoredErrors>
    <ignoredError numberStoredAsText="1" sqref="A1:B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CEDULA</v>
      </c>
      <c r="B1" t="str">
        <v>NOMBRES COMPLETOS DEL RECURSO</v>
      </c>
      <c r="C1" t="str">
        <v>COORDINADOR LÍDER</v>
      </c>
    </row>
    <row r="2">
      <c r="A2">
        <v>91476117</v>
      </c>
      <c r="B2" t="str">
        <v>ABELARDO JAIMES REATIGA</v>
      </c>
      <c r="C2" t="str">
        <v>EDGAR JAVIER CASTAÑEDA GIL</v>
      </c>
    </row>
    <row r="3">
      <c r="A3">
        <v>78749948</v>
      </c>
      <c r="B3" t="str">
        <v>CARLOS MARIO MONTIEL PETRO</v>
      </c>
      <c r="C3" t="str">
        <v>LUISA FERNANDA MEJIA CORREA</v>
      </c>
    </row>
    <row r="4">
      <c r="A4">
        <v>63561583</v>
      </c>
      <c r="B4" t="str">
        <v>CLAUDIA MARCELA GELVEZ ROJAS</v>
      </c>
      <c r="C4" t="str">
        <v>EDGAR JAVIER CASTAÑEDA GIL</v>
      </c>
    </row>
    <row r="5">
      <c r="A5">
        <v>79524026</v>
      </c>
      <c r="B5" t="str">
        <v>DAVID ENRIQUE CANTILLO MIER</v>
      </c>
      <c r="C5" t="str">
        <v>EDGAR JAVIER CASTAÑEDA GIL</v>
      </c>
    </row>
    <row r="6">
      <c r="A6">
        <v>1075236275</v>
      </c>
      <c r="B6" t="str">
        <v>DIEGO ARMANDO GUTIERREZ ROJAS</v>
      </c>
      <c r="C6" t="str">
        <v>LUISA FERNANDA MEJIA CORREA</v>
      </c>
    </row>
    <row r="7">
      <c r="A7">
        <v>10773816</v>
      </c>
      <c r="B7" t="str">
        <v>DIEGO EFRAIN SOTO VELLOJIN</v>
      </c>
      <c r="C7" t="str">
        <v>LEONARDO PINZON URIBE</v>
      </c>
    </row>
    <row r="8">
      <c r="A8">
        <v>1069713448</v>
      </c>
      <c r="B8" t="str">
        <v>DIEGO FERNANDO RICO GAMBA</v>
      </c>
      <c r="C8" t="str">
        <v>LEONARDO PINZON URIBE</v>
      </c>
    </row>
    <row r="9">
      <c r="A9">
        <v>93414479</v>
      </c>
      <c r="B9" t="str">
        <v>ERICK LEONARDO SANTOS MORENO</v>
      </c>
      <c r="C9" t="str">
        <v>LEONARDO PINZON URIBE</v>
      </c>
    </row>
    <row r="10">
      <c r="A10">
        <v>7698504</v>
      </c>
      <c r="B10" t="str">
        <v>FERNANDO ARENAS GUTIERREZ</v>
      </c>
      <c r="C10" t="str">
        <v>LEONARDO PINZON URIBE</v>
      </c>
    </row>
    <row r="11">
      <c r="A11">
        <v>96354333</v>
      </c>
      <c r="B11" t="str">
        <v>FRANKLIEN SERGIO TRUJILLO ESPITIA</v>
      </c>
      <c r="C11" t="str">
        <v>EDGAR JAVIER CASTAÑEDA GIL</v>
      </c>
    </row>
    <row r="12">
      <c r="A12">
        <v>73575049</v>
      </c>
      <c r="B12" t="str">
        <v>HECTOR DANIEL RUBIANO ORTIZ</v>
      </c>
      <c r="C12" t="str">
        <v>LUISA FERNANDA MEJIA CORREA</v>
      </c>
    </row>
    <row r="13">
      <c r="A13">
        <v>91524294</v>
      </c>
      <c r="B13" t="str">
        <v>JAVIER MAURICIO SARMIENTO CARRERO</v>
      </c>
      <c r="C13" t="str">
        <v>EDGAR JAVIER CASTAÑEDA GIL</v>
      </c>
    </row>
    <row r="14">
      <c r="A14">
        <v>52529805</v>
      </c>
      <c r="B14" t="str">
        <v>JENNY ANDREA CABRERA ACERO</v>
      </c>
      <c r="C14" t="str">
        <v>LEONARDO PINZON URIBE</v>
      </c>
    </row>
    <row r="15">
      <c r="A15">
        <v>71367699</v>
      </c>
      <c r="B15" t="str">
        <v>JONATHAN KIN ACOSTA MUÑOZ</v>
      </c>
      <c r="C15" t="str">
        <v>LEONARDO PINZON URIBE</v>
      </c>
    </row>
    <row r="16">
      <c r="A16">
        <v>1075238721</v>
      </c>
      <c r="B16" t="str">
        <v>JULIAN LEONARDO GARCIA GARZON</v>
      </c>
      <c r="C16" t="str">
        <v>EDGAR JAVIER CASTAÑEDA GIL</v>
      </c>
    </row>
    <row r="17">
      <c r="A17">
        <v>1067851725</v>
      </c>
      <c r="B17" t="str">
        <v>LUIS CARLOS CALVO ARAUJO</v>
      </c>
      <c r="C17" t="str">
        <v>LUISA FERNANDA MEJIA CORREA</v>
      </c>
    </row>
    <row r="18">
      <c r="A18">
        <v>79955900</v>
      </c>
      <c r="B18" t="str">
        <v xml:space="preserve">LUIS ERNESTO GERENA SALAS </v>
      </c>
      <c r="C18" t="str">
        <v>LEONARDO PINZON URIBE</v>
      </c>
    </row>
    <row r="19">
      <c r="A19">
        <v>1098619169</v>
      </c>
      <c r="B19" t="str">
        <v>MANUEL RENE CEPEDA VELASCO</v>
      </c>
      <c r="C19" t="str">
        <v>EDGAR JAVIER CASTAÑEDA GIL</v>
      </c>
    </row>
    <row r="20">
      <c r="A20">
        <v>1098622893</v>
      </c>
      <c r="B20" t="str">
        <v>MILDRED YULIANA SAAVEDRA AGUILAR</v>
      </c>
      <c r="C20" t="str">
        <v>LEONARDO PINZON URIBE</v>
      </c>
    </row>
    <row r="21">
      <c r="A21">
        <v>52453681</v>
      </c>
      <c r="B21" t="str">
        <v>MILENA KARINA CUBILLOS AVILA</v>
      </c>
      <c r="C21" t="str">
        <v>EDGAR JAVIER CASTAÑEDA GIL</v>
      </c>
    </row>
    <row r="22">
      <c r="A22">
        <v>53068345</v>
      </c>
      <c r="B22" t="str">
        <v>NAYIBE XIMENA PICO ESPITA</v>
      </c>
      <c r="C22" t="str">
        <v>LUISA FERNANDA MEJIA CORREA</v>
      </c>
    </row>
    <row r="23">
      <c r="A23">
        <v>66968760</v>
      </c>
      <c r="B23" t="str">
        <v>NIDIA ESPINOSA RODRIGUEZ</v>
      </c>
      <c r="C23" t="str">
        <v>LUISA FERNANDA MEJIA CORREA</v>
      </c>
    </row>
    <row r="24">
      <c r="A24">
        <v>76319826</v>
      </c>
      <c r="B24" t="str">
        <v>RODRIGO ANDRES PITO MENESES</v>
      </c>
      <c r="C24" t="str">
        <v>LUISA FERNANDA MEJIA CORREA</v>
      </c>
    </row>
    <row r="25">
      <c r="A25">
        <v>22657544</v>
      </c>
      <c r="B25" t="str">
        <v>SHIRLEY JUHA PEÑA</v>
      </c>
      <c r="C25" t="str">
        <v>LUISA FERNANDA MEJIA CORREA</v>
      </c>
    </row>
  </sheetData>
  <pageMargins left="0.7" right="0.7" top="0.75" bottom="0.75" header="0" footer="0"/>
  <ignoredErrors>
    <ignoredError numberStoredAsText="1" sqref="A1:C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ID</v>
      </c>
      <c r="B1" t="str">
        <v>Coordinador</v>
      </c>
      <c r="C1" t="str">
        <v>SEDE ATENDIDA CON SOPORTE MOVIL (SI/NO)</v>
      </c>
      <c r="D1" t="str">
        <v>Desktop (08/10/2021)</v>
      </c>
      <c r="E1" t="str">
        <v>Laptop (08/10/2021)</v>
      </c>
      <c r="F1" t="str">
        <v>Equipos - SENA - ANTIGUOS</v>
      </c>
      <c r="G1" t="str">
        <v>Equipos - SENA NUEVOS 50K Colombia compara eficiente</v>
      </c>
      <c r="H1" t="str">
        <v>Equipos -TELEFONICA</v>
      </c>
      <c r="I1" t="str">
        <v>Total equipos</v>
      </c>
      <c r="J1" t="str">
        <v>Equipos Impactados</v>
      </c>
      <c r="K1" t="str">
        <v xml:space="preserve">TSS Actuales </v>
      </c>
      <c r="L1" t="str">
        <v>EQUIPOS SIN INPACTAR</v>
      </c>
      <c r="M1" t="str">
        <v>FECHA MAX ENTREGA</v>
      </c>
      <c r="O1" t="str">
        <v>ESTADO</v>
      </c>
    </row>
    <row r="2">
      <c r="A2">
        <v>61</v>
      </c>
      <c r="B2" t="str">
        <v>ABELARDO JAIMES REATIGA</v>
      </c>
      <c r="C2" t="str">
        <v>NO</v>
      </c>
      <c r="D2">
        <v>73</v>
      </c>
      <c r="E2">
        <v>44</v>
      </c>
      <c r="F2">
        <v>0</v>
      </c>
      <c r="G2">
        <v>0</v>
      </c>
      <c r="H2">
        <v>0</v>
      </c>
      <c r="I2">
        <v>117</v>
      </c>
      <c r="J2">
        <v>183</v>
      </c>
      <c r="K2">
        <v>1</v>
      </c>
      <c r="L2" t="str">
        <v>N/A</v>
      </c>
      <c r="M2" t="str">
        <v>N/A</v>
      </c>
      <c r="N2" t="str">
        <f>VLOOKUP(B2,Hoja1!$B$1:$C$25,2,0)</f>
        <v>EDGAR JAVIER CASTAÑEDA GIL</v>
      </c>
      <c r="O2" t="str">
        <f>VLOOKUP(A2,#REF!,22,0)</f>
        <v>#REF!</v>
      </c>
    </row>
    <row r="3">
      <c r="A3">
        <v>62</v>
      </c>
      <c r="B3" t="str">
        <v>ABELARDO JAIMES REATIGA</v>
      </c>
      <c r="C3" t="str">
        <v>NO</v>
      </c>
      <c r="D3">
        <v>245</v>
      </c>
      <c r="E3">
        <v>128</v>
      </c>
      <c r="F3">
        <v>0</v>
      </c>
      <c r="G3">
        <v>0</v>
      </c>
      <c r="H3">
        <v>0</v>
      </c>
      <c r="I3">
        <v>373</v>
      </c>
      <c r="J3">
        <v>0</v>
      </c>
      <c r="K3">
        <v>2</v>
      </c>
      <c r="L3">
        <f>I3-J3</f>
        <v>373</v>
      </c>
      <c r="M3">
        <v>45000</v>
      </c>
      <c r="N3" t="str">
        <f>VLOOKUP(B3,Hoja1!$B$1:$C$25,2,0)</f>
        <v>EDGAR JAVIER CASTAÑEDA GIL</v>
      </c>
      <c r="O3" t="str">
        <f>VLOOKUP(A3,#REF!,22,0)</f>
        <v>#REF!</v>
      </c>
    </row>
    <row r="4">
      <c r="A4">
        <v>83</v>
      </c>
      <c r="B4" t="str">
        <v>ABELARDO JAIMES REATIGA</v>
      </c>
      <c r="C4" t="str">
        <v>NO</v>
      </c>
      <c r="D4">
        <v>223</v>
      </c>
      <c r="E4">
        <v>50</v>
      </c>
      <c r="F4">
        <v>68</v>
      </c>
      <c r="G4">
        <v>0</v>
      </c>
      <c r="H4">
        <v>30</v>
      </c>
      <c r="I4">
        <v>371</v>
      </c>
      <c r="J4">
        <v>0</v>
      </c>
      <c r="K4">
        <v>2</v>
      </c>
      <c r="L4">
        <f>I4-J4</f>
        <v>371</v>
      </c>
      <c r="M4">
        <v>45000</v>
      </c>
      <c r="N4" t="str">
        <f>VLOOKUP(B4,Hoja1!$B$1:$C$25,2,0)</f>
        <v>EDGAR JAVIER CASTAÑEDA GIL</v>
      </c>
      <c r="O4" t="str">
        <f>VLOOKUP(A4,#REF!,22,0)</f>
        <v>#REF!</v>
      </c>
    </row>
    <row r="5">
      <c r="A5">
        <v>85</v>
      </c>
      <c r="B5" t="str">
        <v>ABELARDO JAIMES REATIGA</v>
      </c>
      <c r="C5" t="str">
        <v>NO</v>
      </c>
      <c r="D5">
        <v>247</v>
      </c>
      <c r="E5">
        <v>35</v>
      </c>
      <c r="F5">
        <v>85</v>
      </c>
      <c r="G5">
        <v>769</v>
      </c>
      <c r="H5">
        <v>150</v>
      </c>
      <c r="I5">
        <v>1286</v>
      </c>
      <c r="J5">
        <v>917</v>
      </c>
      <c r="K5">
        <v>1</v>
      </c>
      <c r="L5">
        <f>I5-J5</f>
        <v>369</v>
      </c>
      <c r="M5">
        <v>45016</v>
      </c>
      <c r="N5" t="str">
        <f>VLOOKUP(B5,Hoja1!$B$1:$C$25,2,0)</f>
        <v>EDGAR JAVIER CASTAÑEDA GIL</v>
      </c>
      <c r="O5" t="str">
        <f>VLOOKUP(A5,#REF!,22,0)</f>
        <v>#REF!</v>
      </c>
    </row>
    <row r="6">
      <c r="A6">
        <v>86</v>
      </c>
      <c r="B6" t="str">
        <v>ABELARDO JAIMES REATIGA</v>
      </c>
      <c r="C6" t="str">
        <v>NO</v>
      </c>
      <c r="D6">
        <v>18</v>
      </c>
      <c r="E6">
        <v>6</v>
      </c>
      <c r="F6">
        <v>190</v>
      </c>
      <c r="G6">
        <v>0</v>
      </c>
      <c r="H6">
        <v>0</v>
      </c>
      <c r="I6">
        <v>214</v>
      </c>
      <c r="J6">
        <v>0</v>
      </c>
      <c r="K6">
        <v>1</v>
      </c>
      <c r="L6">
        <v>1</v>
      </c>
      <c r="N6" t="str">
        <f>VLOOKUP(B6,Hoja1!$B$1:$C$25,2,0)</f>
        <v>EDGAR JAVIER CASTAÑEDA GIL</v>
      </c>
      <c r="O6" t="str">
        <f>VLOOKUP(A6,#REF!,22,0)</f>
        <v>#REF!</v>
      </c>
    </row>
    <row r="7">
      <c r="A7">
        <v>153</v>
      </c>
      <c r="B7" t="str">
        <v>ABELARDO JAIMES REATIGA</v>
      </c>
      <c r="C7" t="str">
        <v>NO</v>
      </c>
      <c r="D7">
        <v>376</v>
      </c>
      <c r="E7">
        <v>149</v>
      </c>
      <c r="F7">
        <v>520</v>
      </c>
      <c r="G7">
        <v>750</v>
      </c>
      <c r="H7">
        <v>282</v>
      </c>
      <c r="I7">
        <v>2077</v>
      </c>
      <c r="J7">
        <v>0</v>
      </c>
      <c r="K7">
        <v>3</v>
      </c>
      <c r="L7">
        <f>I7-J7</f>
        <v>2077</v>
      </c>
      <c r="M7">
        <v>45046</v>
      </c>
      <c r="N7" t="str">
        <f>VLOOKUP(B7,Hoja1!$B$1:$C$25,2,0)</f>
        <v>EDGAR JAVIER CASTAÑEDA GIL</v>
      </c>
      <c r="O7" t="str">
        <f>VLOOKUP(A7,#REF!,22,0)</f>
        <v>#REF!</v>
      </c>
    </row>
    <row r="8">
      <c r="A8">
        <v>154</v>
      </c>
      <c r="B8" t="str">
        <v>ABELARDO JAIMES REATIGA</v>
      </c>
      <c r="C8" t="str">
        <v>NO</v>
      </c>
      <c r="D8">
        <v>106</v>
      </c>
      <c r="E8">
        <v>33</v>
      </c>
      <c r="F8">
        <v>139</v>
      </c>
      <c r="G8">
        <v>0</v>
      </c>
      <c r="H8">
        <v>45</v>
      </c>
      <c r="I8">
        <v>323</v>
      </c>
      <c r="J8">
        <v>0</v>
      </c>
      <c r="K8">
        <v>1</v>
      </c>
      <c r="L8">
        <f>I8-J8</f>
        <v>323</v>
      </c>
      <c r="M8">
        <v>45016</v>
      </c>
      <c r="N8" t="str">
        <f>VLOOKUP(B8,Hoja1!$B$1:$C$25,2,0)</f>
        <v>EDGAR JAVIER CASTAÑEDA GIL</v>
      </c>
      <c r="O8" t="str">
        <f>VLOOKUP(A8,#REF!,22,0)</f>
        <v>#REF!</v>
      </c>
    </row>
    <row r="9">
      <c r="A9">
        <v>155</v>
      </c>
      <c r="B9" t="str">
        <v>ABELARDO JAIMES REATIGA</v>
      </c>
      <c r="C9" t="str">
        <v>SI</v>
      </c>
      <c r="D9">
        <v>31</v>
      </c>
      <c r="E9">
        <v>0</v>
      </c>
      <c r="F9">
        <v>27</v>
      </c>
      <c r="G9">
        <v>32</v>
      </c>
      <c r="H9">
        <v>0</v>
      </c>
      <c r="I9">
        <v>90</v>
      </c>
      <c r="J9">
        <v>0</v>
      </c>
      <c r="K9">
        <v>0</v>
      </c>
      <c r="L9">
        <f>I9-J9</f>
        <v>90</v>
      </c>
      <c r="M9">
        <v>44985</v>
      </c>
      <c r="N9" t="str">
        <f>VLOOKUP(B9,Hoja1!$B$1:$C$25,2,0)</f>
        <v>EDGAR JAVIER CASTAÑEDA GIL</v>
      </c>
      <c r="O9" t="str">
        <f>VLOOKUP(A9,#REF!,22,0)</f>
        <v>#REF!</v>
      </c>
    </row>
    <row r="10">
      <c r="A10">
        <v>156</v>
      </c>
      <c r="B10" t="str">
        <v>ABELARDO JAIMES REATIGA</v>
      </c>
      <c r="C10" t="str">
        <v>NO</v>
      </c>
      <c r="D10">
        <v>166</v>
      </c>
      <c r="E10">
        <v>59</v>
      </c>
      <c r="F10">
        <v>295</v>
      </c>
      <c r="G10">
        <v>450</v>
      </c>
      <c r="H10">
        <v>150</v>
      </c>
      <c r="I10">
        <v>1120</v>
      </c>
      <c r="J10">
        <v>0</v>
      </c>
      <c r="K10">
        <v>1</v>
      </c>
      <c r="L10">
        <f>I10-J10</f>
        <v>1120</v>
      </c>
      <c r="M10">
        <v>45046</v>
      </c>
      <c r="N10" t="str">
        <f>VLOOKUP(B10,Hoja1!$B$1:$C$25,2,0)</f>
        <v>EDGAR JAVIER CASTAÑEDA GIL</v>
      </c>
      <c r="O10" t="str">
        <f>VLOOKUP(A10,#REF!,22,0)</f>
        <v>#REF!</v>
      </c>
    </row>
    <row r="11">
      <c r="A11">
        <v>157</v>
      </c>
      <c r="B11" t="str">
        <v>ABELARDO JAIMES REATIGA</v>
      </c>
      <c r="C11" t="str">
        <v>NO</v>
      </c>
      <c r="D11">
        <v>76</v>
      </c>
      <c r="E11">
        <v>38</v>
      </c>
      <c r="F11">
        <v>130</v>
      </c>
      <c r="G11">
        <v>110</v>
      </c>
      <c r="H11">
        <v>50</v>
      </c>
      <c r="I11">
        <v>404</v>
      </c>
      <c r="J11">
        <v>44</v>
      </c>
      <c r="K11">
        <v>1</v>
      </c>
      <c r="L11">
        <f>I11-J11</f>
        <v>360</v>
      </c>
      <c r="M11">
        <v>45016</v>
      </c>
      <c r="N11" t="str">
        <f>VLOOKUP(B11,Hoja1!$B$1:$C$25,2,0)</f>
        <v>EDGAR JAVIER CASTAÑEDA GIL</v>
      </c>
      <c r="O11" t="str">
        <f>VLOOKUP(A11,#REF!,22,0)</f>
        <v>#REF!</v>
      </c>
    </row>
    <row r="12">
      <c r="A12">
        <v>266</v>
      </c>
      <c r="B12" t="str">
        <v>ABELARDO JAIMES REATIGA</v>
      </c>
      <c r="C12" t="str">
        <v>NO</v>
      </c>
      <c r="D12">
        <v>48</v>
      </c>
      <c r="E12">
        <v>18</v>
      </c>
      <c r="F12">
        <v>45</v>
      </c>
      <c r="G12">
        <v>416</v>
      </c>
      <c r="H12">
        <v>0</v>
      </c>
      <c r="I12">
        <v>527</v>
      </c>
      <c r="J12">
        <v>302</v>
      </c>
      <c r="K12">
        <v>1</v>
      </c>
      <c r="L12">
        <f>I12-J12</f>
        <v>225</v>
      </c>
      <c r="M12">
        <v>45016</v>
      </c>
      <c r="N12" t="str">
        <f>VLOOKUP(B12,Hoja1!$B$1:$C$25,2,0)</f>
        <v>EDGAR JAVIER CASTAÑEDA GIL</v>
      </c>
      <c r="O12" t="str">
        <f>VLOOKUP(A12,#REF!,22,0)</f>
        <v>#REF!</v>
      </c>
    </row>
    <row r="13">
      <c r="A13">
        <v>269</v>
      </c>
      <c r="B13" t="str">
        <v>ABELARDO JAIMES REATIGA</v>
      </c>
      <c r="C13" t="str">
        <v>NO</v>
      </c>
      <c r="D13">
        <v>0</v>
      </c>
      <c r="E13">
        <v>187</v>
      </c>
      <c r="F13">
        <v>0</v>
      </c>
      <c r="G13">
        <v>45</v>
      </c>
      <c r="H13">
        <v>0</v>
      </c>
      <c r="I13">
        <v>232</v>
      </c>
      <c r="J13">
        <v>0</v>
      </c>
      <c r="K13">
        <v>0</v>
      </c>
      <c r="L13">
        <f>I13-J13</f>
        <v>232</v>
      </c>
      <c r="M13">
        <v>45046</v>
      </c>
      <c r="N13" t="str">
        <f>VLOOKUP(B13,Hoja1!$B$1:$C$25,2,0)</f>
        <v>EDGAR JAVIER CASTAÑEDA GIL</v>
      </c>
      <c r="O13" t="str">
        <f>VLOOKUP(A13,#REF!,22,0)</f>
        <v>#REF!</v>
      </c>
    </row>
    <row r="14">
      <c r="A14" t="str">
        <v>154A</v>
      </c>
      <c r="B14" t="str">
        <v>ABELARDO JAIMES REATIGA</v>
      </c>
      <c r="C14" t="str">
        <v>NO</v>
      </c>
      <c r="D14">
        <v>459</v>
      </c>
      <c r="E14">
        <v>380</v>
      </c>
      <c r="F14">
        <v>133</v>
      </c>
      <c r="G14">
        <v>636</v>
      </c>
      <c r="H14">
        <v>201</v>
      </c>
      <c r="I14">
        <v>1809</v>
      </c>
      <c r="J14">
        <v>0</v>
      </c>
      <c r="K14">
        <v>5</v>
      </c>
      <c r="L14">
        <f>I14-J14</f>
        <v>1809</v>
      </c>
      <c r="M14">
        <v>45000</v>
      </c>
      <c r="N14" t="str">
        <f>VLOOKUP(B14,Hoja1!$B$1:$C$25,2,0)</f>
        <v>EDGAR JAVIER CASTAÑEDA GIL</v>
      </c>
      <c r="O14" t="str">
        <f>VLOOKUP(A14,#REF!,22,0)</f>
        <v>#REF!</v>
      </c>
    </row>
    <row r="15">
      <c r="A15">
        <v>323</v>
      </c>
      <c r="B15" t="str">
        <v>ABELARDO JAIMES REATIGA</v>
      </c>
      <c r="J15">
        <v>0</v>
      </c>
      <c r="N15" t="str">
        <f>VLOOKUP(B15,Hoja1!$B$1:$C$25,2,0)</f>
        <v>EDGAR JAVIER CASTAÑEDA GIL</v>
      </c>
      <c r="O15" t="str">
        <f>VLOOKUP(A15,#REF!,22,0)</f>
        <v>#REF!</v>
      </c>
    </row>
    <row r="16">
      <c r="A16">
        <v>324</v>
      </c>
      <c r="B16" t="str">
        <v>ABELARDO JAIMES REATIGA</v>
      </c>
      <c r="J16">
        <v>0</v>
      </c>
      <c r="N16" t="str">
        <f>VLOOKUP(B16,Hoja1!$B$1:$C$25,2,0)</f>
        <v>EDGAR JAVIER CASTAÑEDA GIL</v>
      </c>
      <c r="O16" t="str">
        <f>VLOOKUP(A16,#REF!,22,0)</f>
        <v>#REF!</v>
      </c>
    </row>
    <row r="17">
      <c r="A17">
        <v>70</v>
      </c>
      <c r="B17" t="str">
        <v>CARLOS MARIO MONTIEL PETRO</v>
      </c>
      <c r="C17" t="str">
        <v>NO</v>
      </c>
      <c r="D17">
        <v>50</v>
      </c>
      <c r="E17">
        <v>9</v>
      </c>
      <c r="F17">
        <v>0</v>
      </c>
      <c r="G17">
        <v>0</v>
      </c>
      <c r="H17">
        <v>0</v>
      </c>
      <c r="I17">
        <v>59</v>
      </c>
      <c r="J17">
        <v>220</v>
      </c>
      <c r="K17">
        <v>3</v>
      </c>
      <c r="L17" t="str">
        <v>N/A</v>
      </c>
      <c r="N17" t="str">
        <f>VLOOKUP(B17,Hoja1!$B$1:$C$25,2,0)</f>
        <v>LUISA FERNANDA MEJIA CORREA</v>
      </c>
      <c r="O17" t="str">
        <f>VLOOKUP(A17,#REF!,22,0)</f>
        <v>#REF!</v>
      </c>
    </row>
    <row r="18">
      <c r="A18">
        <v>72</v>
      </c>
      <c r="B18" t="str">
        <v>CARLOS MARIO MONTIEL PETRO</v>
      </c>
      <c r="C18" t="str">
        <v>SI</v>
      </c>
      <c r="D18">
        <v>5</v>
      </c>
      <c r="E18">
        <v>32</v>
      </c>
      <c r="F18">
        <v>0</v>
      </c>
      <c r="G18">
        <v>0</v>
      </c>
      <c r="H18">
        <v>0</v>
      </c>
      <c r="I18">
        <v>37</v>
      </c>
      <c r="J18">
        <v>15</v>
      </c>
      <c r="K18">
        <v>0</v>
      </c>
      <c r="L18" t="str">
        <v>N/A</v>
      </c>
      <c r="N18" t="str">
        <f>VLOOKUP(B18,Hoja1!$B$1:$C$25,2,0)</f>
        <v>LUISA FERNANDA MEJIA CORREA</v>
      </c>
      <c r="O18" t="str">
        <f>VLOOKUP(A18,#REF!,22,0)</f>
        <v>#REF!</v>
      </c>
    </row>
    <row r="19">
      <c r="A19">
        <v>73</v>
      </c>
      <c r="B19" t="str">
        <v>CARLOS MARIO MONTIEL PETRO</v>
      </c>
      <c r="C19" t="str">
        <v xml:space="preserve">NO  </v>
      </c>
      <c r="D19">
        <v>182</v>
      </c>
      <c r="E19">
        <v>182</v>
      </c>
      <c r="F19">
        <v>0</v>
      </c>
      <c r="G19">
        <v>0</v>
      </c>
      <c r="H19">
        <v>0</v>
      </c>
      <c r="I19">
        <v>364</v>
      </c>
      <c r="J19">
        <v>595</v>
      </c>
      <c r="K19">
        <v>2</v>
      </c>
      <c r="L19" t="str">
        <v>N/A</v>
      </c>
      <c r="N19" t="str">
        <f>VLOOKUP(B19,Hoja1!$B$1:$C$25,2,0)</f>
        <v>LUISA FERNANDA MEJIA CORREA</v>
      </c>
      <c r="O19" t="str">
        <f>VLOOKUP(A19,#REF!,22,0)</f>
        <v>#REF!</v>
      </c>
    </row>
    <row r="20">
      <c r="A20">
        <v>74</v>
      </c>
      <c r="B20" t="str">
        <v>CARLOS MARIO MONTIEL PETRO</v>
      </c>
      <c r="C20" t="str">
        <v xml:space="preserve">NO  </v>
      </c>
      <c r="D20">
        <v>147</v>
      </c>
      <c r="E20">
        <v>112</v>
      </c>
      <c r="F20">
        <v>0</v>
      </c>
      <c r="G20">
        <v>0</v>
      </c>
      <c r="H20">
        <v>0</v>
      </c>
      <c r="I20">
        <v>259</v>
      </c>
      <c r="J20">
        <v>647</v>
      </c>
      <c r="K20">
        <v>2</v>
      </c>
      <c r="L20" t="str">
        <v>N/A</v>
      </c>
      <c r="N20" t="str">
        <f>VLOOKUP(B20,Hoja1!$B$1:$C$25,2,0)</f>
        <v>LUISA FERNANDA MEJIA CORREA</v>
      </c>
      <c r="O20" t="str">
        <f>VLOOKUP(A20,#REF!,22,0)</f>
        <v>#REF!</v>
      </c>
    </row>
    <row r="21">
      <c r="A21">
        <v>106</v>
      </c>
      <c r="B21" t="str">
        <v>CARLOS MARIO MONTIEL PETRO</v>
      </c>
      <c r="C21" t="str">
        <v xml:space="preserve">NO  </v>
      </c>
      <c r="D21">
        <v>292</v>
      </c>
      <c r="E21">
        <v>197</v>
      </c>
      <c r="F21">
        <v>0</v>
      </c>
      <c r="G21">
        <v>0</v>
      </c>
      <c r="H21">
        <v>0</v>
      </c>
      <c r="I21">
        <v>489</v>
      </c>
      <c r="J21">
        <v>442</v>
      </c>
      <c r="K21">
        <v>2</v>
      </c>
      <c r="L21" t="str">
        <v>N/A</v>
      </c>
      <c r="N21" t="str">
        <f>VLOOKUP(B21,Hoja1!$B$1:$C$25,2,0)</f>
        <v>LUISA FERNANDA MEJIA CORREA</v>
      </c>
      <c r="O21" t="str">
        <f>VLOOKUP(A21,#REF!,22,0)</f>
        <v>#REF!</v>
      </c>
    </row>
    <row r="22">
      <c r="A22">
        <v>107</v>
      </c>
      <c r="B22" t="str">
        <v>CARLOS MARIO MONTIEL PETRO</v>
      </c>
      <c r="C22" t="str">
        <v xml:space="preserve">NO  </v>
      </c>
      <c r="D22">
        <v>144</v>
      </c>
      <c r="E22">
        <v>12</v>
      </c>
      <c r="F22">
        <v>0</v>
      </c>
      <c r="G22">
        <v>0</v>
      </c>
      <c r="H22">
        <v>0</v>
      </c>
      <c r="I22">
        <v>156</v>
      </c>
      <c r="J22">
        <v>328</v>
      </c>
      <c r="K22">
        <v>2</v>
      </c>
      <c r="L22" t="str">
        <v>N/A</v>
      </c>
      <c r="N22" t="str">
        <f>VLOOKUP(B22,Hoja1!$B$1:$C$25,2,0)</f>
        <v>LUISA FERNANDA MEJIA CORREA</v>
      </c>
      <c r="O22" t="str">
        <f>VLOOKUP(A22,#REF!,22,0)</f>
        <v>#REF!</v>
      </c>
    </row>
    <row r="23">
      <c r="A23">
        <v>108</v>
      </c>
      <c r="B23" t="str">
        <v>CARLOS MARIO MONTIEL PETRO</v>
      </c>
      <c r="C23" t="str">
        <v>SI</v>
      </c>
      <c r="D23">
        <v>73</v>
      </c>
      <c r="E23">
        <v>45</v>
      </c>
      <c r="F23">
        <v>0</v>
      </c>
      <c r="G23">
        <v>0</v>
      </c>
      <c r="H23">
        <v>0</v>
      </c>
      <c r="I23">
        <v>118</v>
      </c>
      <c r="J23">
        <v>103</v>
      </c>
      <c r="K23">
        <v>0</v>
      </c>
      <c r="L23" t="str">
        <v>N/A</v>
      </c>
      <c r="N23" t="str">
        <f>VLOOKUP(B23,Hoja1!$B$1:$C$25,2,0)</f>
        <v>LUISA FERNANDA MEJIA CORREA</v>
      </c>
      <c r="O23" t="str">
        <f>VLOOKUP(A23,#REF!,22,0)</f>
        <v>#REF!</v>
      </c>
    </row>
    <row r="24">
      <c r="A24">
        <v>110</v>
      </c>
      <c r="B24" t="str">
        <v>CARLOS MARIO MONTIEL PETRO</v>
      </c>
      <c r="C24" t="str">
        <v>NO</v>
      </c>
      <c r="D24">
        <v>206</v>
      </c>
      <c r="E24">
        <v>107</v>
      </c>
      <c r="F24">
        <v>0</v>
      </c>
      <c r="G24">
        <v>0</v>
      </c>
      <c r="H24">
        <v>0</v>
      </c>
      <c r="I24">
        <v>313</v>
      </c>
      <c r="J24">
        <v>675</v>
      </c>
      <c r="K24">
        <v>2</v>
      </c>
      <c r="L24" t="str">
        <v>N/A</v>
      </c>
      <c r="N24" t="str">
        <f>VLOOKUP(B24,Hoja1!$B$1:$C$25,2,0)</f>
        <v>LUISA FERNANDA MEJIA CORREA</v>
      </c>
      <c r="O24" t="str">
        <f>VLOOKUP(A24,#REF!,22,0)</f>
        <v>#REF!</v>
      </c>
    </row>
    <row r="25">
      <c r="A25">
        <v>113</v>
      </c>
      <c r="B25" t="str">
        <v>CARLOS MARIO MONTIEL PETRO</v>
      </c>
      <c r="C25" t="str">
        <v>SI</v>
      </c>
      <c r="D25">
        <v>48</v>
      </c>
      <c r="E25">
        <v>5</v>
      </c>
      <c r="F25">
        <v>0</v>
      </c>
      <c r="G25">
        <v>0</v>
      </c>
      <c r="H25">
        <v>0</v>
      </c>
      <c r="I25">
        <v>53</v>
      </c>
      <c r="J25">
        <v>102</v>
      </c>
      <c r="K25">
        <v>0</v>
      </c>
      <c r="L25" t="str">
        <v>N/A</v>
      </c>
      <c r="N25" t="str">
        <f>VLOOKUP(B25,Hoja1!$B$1:$C$25,2,0)</f>
        <v>LUISA FERNANDA MEJIA CORREA</v>
      </c>
      <c r="O25" t="str">
        <f>VLOOKUP(A25,#REF!,22,0)</f>
        <v>#REF!</v>
      </c>
    </row>
    <row r="26">
      <c r="A26">
        <v>114</v>
      </c>
      <c r="B26" t="str">
        <v>CARLOS MARIO MONTIEL PETRO</v>
      </c>
      <c r="C26" t="str">
        <v>NO</v>
      </c>
      <c r="D26">
        <v>221</v>
      </c>
      <c r="E26">
        <v>95</v>
      </c>
      <c r="F26">
        <v>0</v>
      </c>
      <c r="G26">
        <v>0</v>
      </c>
      <c r="H26">
        <v>0</v>
      </c>
      <c r="I26">
        <v>316</v>
      </c>
      <c r="J26">
        <v>281</v>
      </c>
      <c r="K26">
        <v>2</v>
      </c>
      <c r="L26" t="str">
        <v>N/A</v>
      </c>
      <c r="N26" t="str">
        <f>VLOOKUP(B26,Hoja1!$B$1:$C$25,2,0)</f>
        <v>LUISA FERNANDA MEJIA CORREA</v>
      </c>
      <c r="O26" t="str">
        <f>VLOOKUP(A26,#REF!,22,0)</f>
        <v>#REF!</v>
      </c>
    </row>
    <row r="27">
      <c r="A27">
        <v>186</v>
      </c>
      <c r="B27" t="str">
        <v>CARLOS MARIO MONTIEL PETRO</v>
      </c>
      <c r="C27" t="str">
        <v>NO</v>
      </c>
      <c r="D27">
        <v>55</v>
      </c>
      <c r="E27">
        <v>45</v>
      </c>
      <c r="F27">
        <v>0</v>
      </c>
      <c r="G27">
        <v>0</v>
      </c>
      <c r="H27">
        <v>0</v>
      </c>
      <c r="I27">
        <v>100</v>
      </c>
      <c r="J27">
        <v>134</v>
      </c>
      <c r="K27">
        <v>1</v>
      </c>
      <c r="L27" t="str">
        <v>N/A</v>
      </c>
      <c r="N27" t="str">
        <f>VLOOKUP(B27,Hoja1!$B$1:$C$25,2,0)</f>
        <v>LUISA FERNANDA MEJIA CORREA</v>
      </c>
      <c r="O27" t="str">
        <f>VLOOKUP(A27,#REF!,22,0)</f>
        <v>#REF!</v>
      </c>
    </row>
    <row r="28">
      <c r="A28">
        <v>258</v>
      </c>
      <c r="B28" t="str">
        <v>CARLOS MARIO MONTIEL PETRO</v>
      </c>
      <c r="C28" t="str">
        <v>NO</v>
      </c>
      <c r="D28" t="e">
        <v>#N/A</v>
      </c>
      <c r="E28" t="e">
        <v>#N/A</v>
      </c>
      <c r="F28">
        <v>0</v>
      </c>
      <c r="G28">
        <v>0</v>
      </c>
      <c r="H28">
        <v>0</v>
      </c>
      <c r="I28" t="e">
        <v>#N/A</v>
      </c>
      <c r="J28">
        <v>167</v>
      </c>
      <c r="K28">
        <v>2</v>
      </c>
      <c r="L28" t="str">
        <v>N/A</v>
      </c>
      <c r="N28" t="str">
        <f>VLOOKUP(B28,Hoja1!$B$1:$C$25,2,0)</f>
        <v>LUISA FERNANDA MEJIA CORREA</v>
      </c>
      <c r="O28" t="str">
        <f>VLOOKUP(A28,#REF!,22,0)</f>
        <v>#REF!</v>
      </c>
    </row>
    <row r="29">
      <c r="A29">
        <v>281</v>
      </c>
      <c r="B29" t="str">
        <v>CARLOS MARIO MONTIEL PETRO</v>
      </c>
      <c r="C29" t="str">
        <v>SI</v>
      </c>
      <c r="D29" t="e">
        <v>#N/A</v>
      </c>
      <c r="E29" t="e">
        <v>#N/A</v>
      </c>
      <c r="F29" t="str">
        <v>N/A</v>
      </c>
      <c r="G29" t="str">
        <v>N/A</v>
      </c>
      <c r="H29" t="str">
        <v>N/A</v>
      </c>
      <c r="I29" t="e">
        <v>#N/A</v>
      </c>
      <c r="J29">
        <v>0</v>
      </c>
      <c r="K29">
        <v>0</v>
      </c>
      <c r="L29">
        <v>0</v>
      </c>
      <c r="N29" t="str">
        <f>VLOOKUP(B29,Hoja1!$B$1:$C$25,2,0)</f>
        <v>LUISA FERNANDA MEJIA CORREA</v>
      </c>
      <c r="O29" t="str">
        <f>VLOOKUP(A29,#REF!,22,0)</f>
        <v>#REF!</v>
      </c>
    </row>
    <row r="30">
      <c r="A30">
        <v>282</v>
      </c>
      <c r="B30" t="str">
        <v>CARLOS MARIO MONTIEL PETRO</v>
      </c>
      <c r="C30" t="str">
        <v>SI</v>
      </c>
      <c r="D30" t="e">
        <v>#N/A</v>
      </c>
      <c r="E30" t="e">
        <v>#N/A</v>
      </c>
      <c r="F30" t="str">
        <v>N/A</v>
      </c>
      <c r="G30" t="str">
        <v>N/A</v>
      </c>
      <c r="H30" t="str">
        <v>N/A</v>
      </c>
      <c r="I30" t="e">
        <v>#N/A</v>
      </c>
      <c r="J30">
        <v>0</v>
      </c>
      <c r="K30">
        <v>0</v>
      </c>
      <c r="L30">
        <v>0</v>
      </c>
      <c r="N30" t="str">
        <f>VLOOKUP(B30,Hoja1!$B$1:$C$25,2,0)</f>
        <v>LUISA FERNANDA MEJIA CORREA</v>
      </c>
      <c r="O30" t="str">
        <f>VLOOKUP(A30,#REF!,22,0)</f>
        <v>#REF!</v>
      </c>
    </row>
    <row r="31">
      <c r="A31">
        <v>283</v>
      </c>
      <c r="B31" t="str">
        <v>CARLOS MARIO MONTIEL PETRO</v>
      </c>
      <c r="C31" t="str">
        <v>SI</v>
      </c>
      <c r="D31" t="e">
        <v>#N/A</v>
      </c>
      <c r="E31" t="e">
        <v>#N/A</v>
      </c>
      <c r="F31">
        <v>0</v>
      </c>
      <c r="G31">
        <v>0</v>
      </c>
      <c r="H31">
        <v>0</v>
      </c>
      <c r="I31" t="e">
        <v>#N/A</v>
      </c>
      <c r="J31">
        <v>0</v>
      </c>
      <c r="K31">
        <v>0</v>
      </c>
      <c r="L31">
        <v>0</v>
      </c>
      <c r="N31" t="str">
        <f>VLOOKUP(B31,Hoja1!$B$1:$C$25,2,0)</f>
        <v>LUISA FERNANDA MEJIA CORREA</v>
      </c>
      <c r="O31" t="str">
        <f>VLOOKUP(A31,#REF!,22,0)</f>
        <v>#REF!</v>
      </c>
    </row>
    <row r="32">
      <c r="A32">
        <v>284</v>
      </c>
      <c r="B32" t="str">
        <v>CARLOS MARIO MONTIEL PETRO</v>
      </c>
      <c r="C32" t="str">
        <v>SI</v>
      </c>
      <c r="D32" t="e">
        <v>#N/A</v>
      </c>
      <c r="E32" t="e">
        <v>#N/A</v>
      </c>
      <c r="F32" t="str">
        <v>N/A</v>
      </c>
      <c r="G32" t="str">
        <v>N/A</v>
      </c>
      <c r="H32" t="str">
        <v>N/A</v>
      </c>
      <c r="I32" t="e">
        <v>#N/A</v>
      </c>
      <c r="J32">
        <v>0</v>
      </c>
      <c r="K32">
        <v>0</v>
      </c>
      <c r="L32">
        <v>0</v>
      </c>
      <c r="N32" t="str">
        <f>VLOOKUP(B32,Hoja1!$B$1:$C$25,2,0)</f>
        <v>LUISA FERNANDA MEJIA CORREA</v>
      </c>
      <c r="O32" t="str">
        <f>VLOOKUP(A32,#REF!,22,0)</f>
        <v>#REF!</v>
      </c>
    </row>
    <row r="33">
      <c r="A33">
        <v>285</v>
      </c>
      <c r="B33" t="str">
        <v>CARLOS MARIO MONTIEL PETRO</v>
      </c>
      <c r="C33" t="str">
        <v>SI</v>
      </c>
      <c r="D33" t="e">
        <v>#N/A</v>
      </c>
      <c r="E33" t="e">
        <v>#N/A</v>
      </c>
      <c r="F33" t="str">
        <v>N/A</v>
      </c>
      <c r="G33" t="str">
        <v>N/A</v>
      </c>
      <c r="H33" t="str">
        <v>N/A</v>
      </c>
      <c r="I33" t="e">
        <v>#N/A</v>
      </c>
      <c r="J33">
        <v>0</v>
      </c>
      <c r="K33">
        <v>0</v>
      </c>
      <c r="L33">
        <v>0</v>
      </c>
      <c r="N33" t="str">
        <f>VLOOKUP(B33,Hoja1!$B$1:$C$25,2,0)</f>
        <v>LUISA FERNANDA MEJIA CORREA</v>
      </c>
      <c r="O33" t="str">
        <f>VLOOKUP(A33,#REF!,22,0)</f>
        <v>#REF!</v>
      </c>
    </row>
    <row r="34">
      <c r="A34">
        <v>308</v>
      </c>
      <c r="B34" t="str">
        <v>CARLOS MARIO MONTIEL PETRO</v>
      </c>
      <c r="C34" t="str">
        <v>SI</v>
      </c>
      <c r="D34" t="e">
        <v>#N/A</v>
      </c>
      <c r="E34" t="e">
        <v>#N/A</v>
      </c>
      <c r="F34">
        <v>0</v>
      </c>
      <c r="G34">
        <v>0</v>
      </c>
      <c r="H34">
        <v>0</v>
      </c>
      <c r="I34" t="e">
        <v>#N/A</v>
      </c>
      <c r="J34">
        <v>0</v>
      </c>
      <c r="K34">
        <v>0</v>
      </c>
      <c r="L34">
        <v>0</v>
      </c>
      <c r="N34" t="str">
        <f>VLOOKUP(B34,Hoja1!$B$1:$C$25,2,0)</f>
        <v>LUISA FERNANDA MEJIA CORREA</v>
      </c>
      <c r="O34" t="str">
        <f>VLOOKUP(A34,#REF!,22,0)</f>
        <v>#REF!</v>
      </c>
    </row>
    <row r="35">
      <c r="A35" t="str">
        <v>106B</v>
      </c>
      <c r="B35" t="str">
        <v>CARLOS MARIO MONTIEL PETRO</v>
      </c>
      <c r="C35" t="str">
        <v>NO</v>
      </c>
      <c r="D35" t="e">
        <v>#N/A</v>
      </c>
      <c r="E35" t="e">
        <v>#N/A</v>
      </c>
      <c r="F35">
        <v>0</v>
      </c>
      <c r="G35">
        <v>0</v>
      </c>
      <c r="H35">
        <v>0</v>
      </c>
      <c r="I35" t="e">
        <v>#N/A</v>
      </c>
      <c r="J35">
        <v>0</v>
      </c>
      <c r="K35">
        <v>0</v>
      </c>
      <c r="L35" t="str">
        <v>N/A</v>
      </c>
      <c r="N35" t="str">
        <f>VLOOKUP(B35,Hoja1!$B$1:$C$25,2,0)</f>
        <v>LUISA FERNANDA MEJIA CORREA</v>
      </c>
      <c r="O35" t="str">
        <f>VLOOKUP(A35,#REF!,22,0)</f>
        <v>#REF!</v>
      </c>
    </row>
    <row r="36">
      <c r="A36" t="str">
        <v>106C</v>
      </c>
      <c r="B36" t="str">
        <v>CARLOS MARIO MONTIEL PETRO</v>
      </c>
      <c r="C36" t="str">
        <v>NO</v>
      </c>
      <c r="D36" t="e">
        <v>#N/A</v>
      </c>
      <c r="E36" t="e">
        <v>#N/A</v>
      </c>
      <c r="F36">
        <v>0</v>
      </c>
      <c r="G36">
        <v>0</v>
      </c>
      <c r="H36">
        <v>0</v>
      </c>
      <c r="I36" t="e">
        <v>#N/A</v>
      </c>
      <c r="J36">
        <v>91</v>
      </c>
      <c r="K36">
        <v>0</v>
      </c>
      <c r="L36" t="str">
        <v>N/A</v>
      </c>
      <c r="N36" t="str">
        <f>VLOOKUP(B36,Hoja1!$B$1:$C$25,2,0)</f>
        <v>LUISA FERNANDA MEJIA CORREA</v>
      </c>
      <c r="O36" t="str">
        <f>VLOOKUP(A36,#REF!,22,0)</f>
        <v>#REF!</v>
      </c>
    </row>
    <row r="37">
      <c r="A37" t="str">
        <v>70A</v>
      </c>
      <c r="B37" t="str">
        <v>CARLOS MARIO MONTIEL PETRO</v>
      </c>
      <c r="C37" t="str">
        <v>NO</v>
      </c>
      <c r="D37">
        <v>343</v>
      </c>
      <c r="E37">
        <v>94</v>
      </c>
      <c r="F37">
        <v>0</v>
      </c>
      <c r="G37">
        <v>0</v>
      </c>
      <c r="H37">
        <v>0</v>
      </c>
      <c r="I37">
        <v>437</v>
      </c>
      <c r="J37">
        <v>69</v>
      </c>
      <c r="K37">
        <v>1</v>
      </c>
      <c r="L37" t="str">
        <v>N/A</v>
      </c>
      <c r="N37" t="str">
        <f>VLOOKUP(B37,Hoja1!$B$1:$C$25,2,0)</f>
        <v>LUISA FERNANDA MEJIA CORREA</v>
      </c>
      <c r="O37" t="str">
        <f>VLOOKUP(A37,#REF!,22,0)</f>
        <v>#REF!</v>
      </c>
    </row>
    <row r="38">
      <c r="A38">
        <v>71</v>
      </c>
      <c r="B38" t="str">
        <v>CARLOS MARIO MONTIEL PETRO</v>
      </c>
      <c r="C38" t="str">
        <v>NO EXISTE</v>
      </c>
      <c r="D38">
        <v>61</v>
      </c>
      <c r="E38">
        <v>48</v>
      </c>
      <c r="F38">
        <v>0</v>
      </c>
      <c r="G38">
        <v>0</v>
      </c>
      <c r="H38">
        <v>0</v>
      </c>
      <c r="I38">
        <v>109</v>
      </c>
      <c r="J38">
        <v>0</v>
      </c>
      <c r="K38">
        <v>0</v>
      </c>
      <c r="L38">
        <v>0</v>
      </c>
      <c r="N38" t="str">
        <f>VLOOKUP(B38,Hoja1!$B$1:$C$25,2,0)</f>
        <v>LUISA FERNANDA MEJIA CORREA</v>
      </c>
      <c r="O38" t="str">
        <f>VLOOKUP(A38,#REF!,22,0)</f>
        <v>#REF!</v>
      </c>
    </row>
    <row r="39">
      <c r="A39">
        <v>345</v>
      </c>
      <c r="B39" t="str">
        <v>CARLOS MARIO MONTIEL PETRO</v>
      </c>
      <c r="J39">
        <v>0</v>
      </c>
      <c r="N39" t="str">
        <f>VLOOKUP(B39,Hoja1!$B$1:$C$25,2,0)</f>
        <v>LUISA FERNANDA MEJIA CORREA</v>
      </c>
      <c r="O39" t="str">
        <f>VLOOKUP(A39,#REF!,22,0)</f>
        <v>#REF!</v>
      </c>
    </row>
    <row r="40">
      <c r="A40">
        <v>248</v>
      </c>
      <c r="B40" t="str">
        <v>CARLOS MARIO MONTIEL PETRO</v>
      </c>
      <c r="C40" t="str">
        <v>SI</v>
      </c>
      <c r="D40">
        <v>23</v>
      </c>
      <c r="E40">
        <v>0</v>
      </c>
      <c r="F40">
        <v>0</v>
      </c>
      <c r="G40">
        <v>0</v>
      </c>
      <c r="H40">
        <v>0</v>
      </c>
      <c r="I40">
        <v>23</v>
      </c>
      <c r="J40">
        <v>0</v>
      </c>
      <c r="K40">
        <v>0</v>
      </c>
      <c r="L40">
        <v>0</v>
      </c>
      <c r="N40" t="str">
        <f>VLOOKUP(B40,Hoja1!$B$1:$C$25,2,0)</f>
        <v>LUISA FERNANDA MEJIA CORREA</v>
      </c>
      <c r="O40" t="str">
        <f>VLOOKUP(A40,#REF!,22,0)</f>
        <v>#REF!</v>
      </c>
    </row>
    <row r="41">
      <c r="A41">
        <v>133</v>
      </c>
      <c r="B41" t="str">
        <v>CLAUDIA MARCELA GELVEZ ROJAS</v>
      </c>
      <c r="C41" t="str">
        <v>NO</v>
      </c>
      <c r="D41">
        <v>108</v>
      </c>
      <c r="E41">
        <v>58</v>
      </c>
      <c r="F41">
        <v>0</v>
      </c>
      <c r="G41">
        <v>0</v>
      </c>
      <c r="H41">
        <v>0</v>
      </c>
      <c r="I41">
        <v>166</v>
      </c>
      <c r="J41">
        <v>140</v>
      </c>
      <c r="K41">
        <v>1</v>
      </c>
      <c r="L41" t="str">
        <v>N/A</v>
      </c>
      <c r="N41" t="str">
        <f>VLOOKUP(B41,Hoja1!$B$1:$C$25,2,0)</f>
        <v>EDGAR JAVIER CASTAÑEDA GIL</v>
      </c>
      <c r="O41" t="str">
        <f>VLOOKUP(A41,#REF!,22,0)</f>
        <v>#REF!</v>
      </c>
    </row>
    <row r="42">
      <c r="A42">
        <v>134</v>
      </c>
      <c r="B42" t="str">
        <v>CLAUDIA MARCELA GELVEZ ROJAS</v>
      </c>
      <c r="C42" t="str">
        <v>SI</v>
      </c>
      <c r="D42">
        <v>97</v>
      </c>
      <c r="E42">
        <v>1</v>
      </c>
      <c r="F42">
        <v>0</v>
      </c>
      <c r="G42">
        <v>0</v>
      </c>
      <c r="H42">
        <v>0</v>
      </c>
      <c r="I42">
        <v>98</v>
      </c>
      <c r="J42">
        <v>73</v>
      </c>
      <c r="K42">
        <v>1</v>
      </c>
      <c r="L42" t="str">
        <v>N/A</v>
      </c>
      <c r="N42" t="str">
        <f>VLOOKUP(B42,Hoja1!$B$1:$C$25,2,0)</f>
        <v>EDGAR JAVIER CASTAÑEDA GIL</v>
      </c>
      <c r="O42" t="str">
        <f>VLOOKUP(A42,#REF!,22,0)</f>
        <v>#REF!</v>
      </c>
    </row>
    <row r="43">
      <c r="A43">
        <v>136</v>
      </c>
      <c r="B43" t="str">
        <v>CLAUDIA MARCELA GELVEZ ROJAS</v>
      </c>
      <c r="C43" t="str">
        <v>NO</v>
      </c>
      <c r="D43">
        <v>557</v>
      </c>
      <c r="E43">
        <v>97</v>
      </c>
      <c r="F43">
        <v>0</v>
      </c>
      <c r="G43">
        <v>0</v>
      </c>
      <c r="H43">
        <v>0</v>
      </c>
      <c r="I43">
        <v>654</v>
      </c>
      <c r="J43">
        <v>414</v>
      </c>
      <c r="K43">
        <v>5</v>
      </c>
      <c r="L43">
        <f>I43-J43</f>
        <v>240</v>
      </c>
      <c r="M43">
        <v>45046</v>
      </c>
      <c r="N43" t="str">
        <f>VLOOKUP(B43,Hoja1!$B$1:$C$25,2,0)</f>
        <v>EDGAR JAVIER CASTAÑEDA GIL</v>
      </c>
      <c r="O43" t="str">
        <f>VLOOKUP(A43,#REF!,22,0)</f>
        <v>#REF!</v>
      </c>
    </row>
    <row r="44">
      <c r="A44">
        <v>141</v>
      </c>
      <c r="B44" t="str">
        <v>CLAUDIA MARCELA GELVEZ ROJAS</v>
      </c>
      <c r="C44" t="str">
        <v>NO</v>
      </c>
      <c r="D44">
        <v>743</v>
      </c>
      <c r="E44">
        <v>1065</v>
      </c>
      <c r="F44">
        <v>338</v>
      </c>
      <c r="G44">
        <v>1173</v>
      </c>
      <c r="H44">
        <v>297</v>
      </c>
      <c r="I44">
        <v>1100</v>
      </c>
      <c r="J44">
        <v>524</v>
      </c>
      <c r="K44">
        <v>4</v>
      </c>
      <c r="L44">
        <f>I44-J44</f>
        <v>576</v>
      </c>
      <c r="M44">
        <v>45046</v>
      </c>
      <c r="N44" t="str">
        <f>VLOOKUP(B44,Hoja1!$B$1:$C$25,2,0)</f>
        <v>EDGAR JAVIER CASTAÑEDA GIL</v>
      </c>
      <c r="O44" t="str">
        <f>VLOOKUP(A44,#REF!,22,0)</f>
        <v>#REF!</v>
      </c>
    </row>
    <row r="45">
      <c r="A45">
        <v>148</v>
      </c>
      <c r="B45" t="str">
        <v>NAYIBE XIMENA PICO ESPITA</v>
      </c>
      <c r="C45" t="str">
        <v>NO</v>
      </c>
      <c r="D45">
        <v>770</v>
      </c>
      <c r="E45">
        <v>470</v>
      </c>
      <c r="F45">
        <v>510</v>
      </c>
      <c r="G45">
        <v>415</v>
      </c>
      <c r="H45">
        <v>315</v>
      </c>
      <c r="I45">
        <v>2480</v>
      </c>
      <c r="J45">
        <v>546</v>
      </c>
      <c r="K45">
        <v>3</v>
      </c>
      <c r="L45" t="str">
        <v>N/A</v>
      </c>
      <c r="N45" t="str">
        <f>VLOOKUP(B45,Hoja1!$B$1:$C$25,2,0)</f>
        <v>LUISA FERNANDA MEJIA CORREA</v>
      </c>
      <c r="O45" t="str">
        <f>VLOOKUP(A45,#REF!,22,0)</f>
        <v>#REF!</v>
      </c>
    </row>
    <row r="46">
      <c r="A46">
        <v>194</v>
      </c>
      <c r="B46" t="str">
        <v>CLAUDIA MARCELA GELVEZ ROJAS</v>
      </c>
      <c r="C46" t="str">
        <v>NO</v>
      </c>
      <c r="D46">
        <v>51</v>
      </c>
      <c r="E46">
        <v>25</v>
      </c>
      <c r="F46">
        <v>0</v>
      </c>
      <c r="G46">
        <v>0</v>
      </c>
      <c r="H46">
        <v>0</v>
      </c>
      <c r="I46">
        <v>76</v>
      </c>
      <c r="J46">
        <v>8</v>
      </c>
      <c r="K46">
        <v>1</v>
      </c>
      <c r="L46">
        <f>I46-J46</f>
        <v>68</v>
      </c>
      <c r="M46">
        <v>45046</v>
      </c>
      <c r="N46" t="str">
        <f>VLOOKUP(B46,Hoja1!$B$1:$C$25,2,0)</f>
        <v>EDGAR JAVIER CASTAÑEDA GIL</v>
      </c>
      <c r="O46" t="str">
        <f>VLOOKUP(A46,#REF!,22,0)</f>
        <v>#REF!</v>
      </c>
    </row>
    <row r="47">
      <c r="A47">
        <v>203</v>
      </c>
      <c r="B47" t="str">
        <v>NAYIBE XIMENA PICO ESPITA</v>
      </c>
      <c r="C47" t="str">
        <v>SI</v>
      </c>
      <c r="D47">
        <v>18</v>
      </c>
      <c r="E47">
        <v>0</v>
      </c>
      <c r="F47">
        <v>18</v>
      </c>
      <c r="G47">
        <v>0</v>
      </c>
      <c r="H47">
        <v>0</v>
      </c>
      <c r="I47">
        <v>36</v>
      </c>
      <c r="J47">
        <v>53</v>
      </c>
      <c r="K47">
        <v>3</v>
      </c>
      <c r="L47" t="str">
        <v>N/A</v>
      </c>
      <c r="N47" t="str">
        <f>VLOOKUP(B47,Hoja1!$B$1:$C$25,2,0)</f>
        <v>LUISA FERNANDA MEJIA CORREA</v>
      </c>
      <c r="O47" t="str">
        <f>VLOOKUP(A47,#REF!,22,0)</f>
        <v>#REF!</v>
      </c>
    </row>
    <row r="48">
      <c r="A48">
        <v>220</v>
      </c>
      <c r="B48" t="str">
        <v>CLAUDIA MARCELA GELVEZ ROJAS</v>
      </c>
      <c r="C48" t="str">
        <v>SI</v>
      </c>
      <c r="D48">
        <v>11</v>
      </c>
      <c r="E48">
        <v>21</v>
      </c>
      <c r="F48">
        <v>0</v>
      </c>
      <c r="G48">
        <v>0</v>
      </c>
      <c r="H48">
        <v>0</v>
      </c>
      <c r="I48">
        <v>32</v>
      </c>
      <c r="J48">
        <v>0</v>
      </c>
      <c r="K48">
        <v>0</v>
      </c>
      <c r="L48">
        <v>0</v>
      </c>
      <c r="N48" t="str">
        <f>VLOOKUP(B48,Hoja1!$B$1:$C$25,2,0)</f>
        <v>EDGAR JAVIER CASTAÑEDA GIL</v>
      </c>
      <c r="O48" t="str">
        <f>VLOOKUP(A48,#REF!,22,0)</f>
        <v>#REF!</v>
      </c>
    </row>
    <row r="49">
      <c r="A49">
        <v>256</v>
      </c>
      <c r="B49" t="str">
        <v>CLAUDIA MARCELA GELVEZ ROJAS</v>
      </c>
      <c r="C49" t="str">
        <v>SI</v>
      </c>
      <c r="D49">
        <v>1</v>
      </c>
      <c r="E49">
        <v>5</v>
      </c>
      <c r="F49">
        <v>0</v>
      </c>
      <c r="G49">
        <v>0</v>
      </c>
      <c r="H49">
        <v>0</v>
      </c>
      <c r="I49">
        <v>6</v>
      </c>
      <c r="J49">
        <v>0</v>
      </c>
      <c r="K49">
        <v>0</v>
      </c>
      <c r="L49">
        <v>0</v>
      </c>
      <c r="N49" t="str">
        <f>VLOOKUP(B49,Hoja1!$B$1:$C$25,2,0)</f>
        <v>EDGAR JAVIER CASTAÑEDA GIL</v>
      </c>
      <c r="O49" t="str">
        <f>VLOOKUP(A49,#REF!,22,0)</f>
        <v>#REF!</v>
      </c>
    </row>
    <row r="50">
      <c r="A50">
        <v>302</v>
      </c>
      <c r="B50" t="str">
        <v>NAYIBE XIMENA PICO ESPITA</v>
      </c>
      <c r="C50" t="str">
        <v>SI</v>
      </c>
      <c r="D50">
        <v>39</v>
      </c>
      <c r="E50">
        <v>68</v>
      </c>
      <c r="F50">
        <v>68</v>
      </c>
      <c r="G50">
        <v>0</v>
      </c>
      <c r="H50">
        <v>39</v>
      </c>
      <c r="I50">
        <v>214</v>
      </c>
      <c r="J50">
        <v>172</v>
      </c>
      <c r="K50">
        <v>3</v>
      </c>
      <c r="L50" t="str">
        <v>N/A</v>
      </c>
      <c r="N50" t="str">
        <f>VLOOKUP(B50,Hoja1!$B$1:$C$25,2,0)</f>
        <v>LUISA FERNANDA MEJIA CORREA</v>
      </c>
      <c r="O50" t="str">
        <f>VLOOKUP(A50,#REF!,22,0)</f>
        <v>#REF!</v>
      </c>
    </row>
    <row r="51">
      <c r="A51" t="str">
        <v>133A</v>
      </c>
      <c r="B51" t="str">
        <v>CLAUDIA MARCELA GELVEZ ROJAS</v>
      </c>
      <c r="C51" t="str">
        <v>NO</v>
      </c>
      <c r="D51">
        <v>205</v>
      </c>
      <c r="E51">
        <v>150</v>
      </c>
      <c r="F51">
        <v>0</v>
      </c>
      <c r="G51">
        <v>0</v>
      </c>
      <c r="H51">
        <v>0</v>
      </c>
      <c r="I51">
        <v>355</v>
      </c>
      <c r="J51">
        <v>225</v>
      </c>
      <c r="K51">
        <v>2</v>
      </c>
      <c r="L51">
        <f>I51-J51</f>
        <v>130</v>
      </c>
      <c r="M51">
        <v>44985</v>
      </c>
      <c r="N51" t="str">
        <f>VLOOKUP(B51,Hoja1!$B$1:$C$25,2,0)</f>
        <v>EDGAR JAVIER CASTAÑEDA GIL</v>
      </c>
      <c r="O51" t="str">
        <f>VLOOKUP(A51,#REF!,22,0)</f>
        <v>#REF!</v>
      </c>
    </row>
    <row r="52">
      <c r="A52" t="str">
        <v>133B</v>
      </c>
      <c r="B52" t="str">
        <v>CLAUDIA MARCELA GELVEZ ROJAS</v>
      </c>
      <c r="C52" t="str">
        <v>NO</v>
      </c>
      <c r="D52">
        <v>466</v>
      </c>
      <c r="E52">
        <v>161</v>
      </c>
      <c r="F52">
        <v>0</v>
      </c>
      <c r="G52">
        <v>0</v>
      </c>
      <c r="H52">
        <v>0</v>
      </c>
      <c r="I52">
        <v>627</v>
      </c>
      <c r="J52">
        <v>382</v>
      </c>
      <c r="K52">
        <v>4</v>
      </c>
      <c r="L52">
        <f>I52-J52</f>
        <v>245</v>
      </c>
      <c r="M52">
        <v>44985</v>
      </c>
      <c r="N52" t="str">
        <f>VLOOKUP(B52,Hoja1!$B$1:$C$25,2,0)</f>
        <v>EDGAR JAVIER CASTAÑEDA GIL</v>
      </c>
      <c r="O52" t="str">
        <f>VLOOKUP(A52,#REF!,22,0)</f>
        <v>#REF!</v>
      </c>
    </row>
    <row r="53">
      <c r="A53">
        <v>22</v>
      </c>
      <c r="B53" t="str">
        <v>DAVID ENRIQUE CANTILLO MIER</v>
      </c>
      <c r="C53" t="str">
        <v>NO</v>
      </c>
      <c r="D53">
        <v>202</v>
      </c>
      <c r="E53">
        <v>86</v>
      </c>
      <c r="F53">
        <v>0</v>
      </c>
      <c r="G53">
        <v>0</v>
      </c>
      <c r="H53">
        <v>0</v>
      </c>
      <c r="I53">
        <v>288</v>
      </c>
      <c r="J53">
        <v>356</v>
      </c>
      <c r="K53">
        <v>7</v>
      </c>
      <c r="L53">
        <f>I53-J53</f>
        <v>-68</v>
      </c>
      <c r="N53" t="str">
        <f>VLOOKUP(B53,Hoja1!$B$1:$C$25,2,0)</f>
        <v>EDGAR JAVIER CASTAÑEDA GIL</v>
      </c>
      <c r="O53" t="str">
        <f>VLOOKUP(A53,#REF!,22,0)</f>
        <v>#REF!</v>
      </c>
    </row>
    <row r="54">
      <c r="A54">
        <v>27</v>
      </c>
      <c r="B54" t="str">
        <v>DAVID ENRIQUE CANTILLO MIER</v>
      </c>
      <c r="C54" t="str">
        <v>SI</v>
      </c>
      <c r="D54">
        <v>38</v>
      </c>
      <c r="E54">
        <v>12</v>
      </c>
      <c r="F54">
        <v>0</v>
      </c>
      <c r="G54">
        <v>0</v>
      </c>
      <c r="H54">
        <v>0</v>
      </c>
      <c r="I54">
        <v>50</v>
      </c>
      <c r="J54">
        <v>0</v>
      </c>
      <c r="K54">
        <v>0</v>
      </c>
      <c r="L54">
        <f>I54-J54</f>
        <v>50</v>
      </c>
      <c r="M54">
        <v>44985</v>
      </c>
      <c r="N54" t="str">
        <f>VLOOKUP(B54,Hoja1!$B$1:$C$25,2,0)</f>
        <v>EDGAR JAVIER CASTAÑEDA GIL</v>
      </c>
      <c r="O54" t="str">
        <f>VLOOKUP(A54,#REF!,22,0)</f>
        <v>#REF!</v>
      </c>
    </row>
    <row r="55">
      <c r="A55">
        <v>29</v>
      </c>
      <c r="B55" t="str">
        <v>DAVID ENRIQUE CANTILLO MIER</v>
      </c>
      <c r="C55" t="str">
        <v>SI</v>
      </c>
      <c r="D55">
        <v>12</v>
      </c>
      <c r="E55">
        <v>5</v>
      </c>
      <c r="F55" t="str">
        <v>Equipos del Sindicato</v>
      </c>
      <c r="G55" t="str">
        <v>Equipos del Sindicato</v>
      </c>
      <c r="H55" t="str">
        <v>Equipos del Sindicato</v>
      </c>
      <c r="I55" t="str">
        <v>#VALUE!</v>
      </c>
      <c r="J55">
        <v>0</v>
      </c>
      <c r="K55">
        <v>0</v>
      </c>
      <c r="L55">
        <v>0</v>
      </c>
      <c r="M55" t="str">
        <v>N/A</v>
      </c>
      <c r="N55" t="str">
        <f>VLOOKUP(B55,Hoja1!$B$1:$C$25,2,0)</f>
        <v>EDGAR JAVIER CASTAÑEDA GIL</v>
      </c>
      <c r="O55" t="str">
        <f>VLOOKUP(A55,#REF!,22,0)</f>
        <v>#REF!</v>
      </c>
    </row>
    <row r="56">
      <c r="A56">
        <v>30</v>
      </c>
      <c r="B56" t="str">
        <v>DAVID ENRIQUE CANTILLO MIER</v>
      </c>
      <c r="C56" t="str">
        <v>NO</v>
      </c>
      <c r="D56">
        <v>614</v>
      </c>
      <c r="E56">
        <v>280</v>
      </c>
      <c r="F56">
        <v>16</v>
      </c>
      <c r="G56">
        <v>628</v>
      </c>
      <c r="H56">
        <v>250</v>
      </c>
      <c r="I56">
        <v>1788</v>
      </c>
      <c r="J56">
        <v>0</v>
      </c>
      <c r="K56">
        <v>6</v>
      </c>
      <c r="L56">
        <f>I56-J56</f>
        <v>1788</v>
      </c>
      <c r="M56">
        <v>45000</v>
      </c>
      <c r="N56" t="str">
        <f>VLOOKUP(B56,Hoja1!$B$1:$C$25,2,0)</f>
        <v>EDGAR JAVIER CASTAÑEDA GIL</v>
      </c>
      <c r="O56" t="str">
        <f>VLOOKUP(A56,#REF!,22,0)</f>
        <v>#REF!</v>
      </c>
    </row>
    <row r="57">
      <c r="A57">
        <v>38</v>
      </c>
      <c r="B57" t="str">
        <v>DAVID ENRIQUE CANTILLO MIER</v>
      </c>
      <c r="C57" t="str">
        <v>SI</v>
      </c>
      <c r="D57">
        <v>18</v>
      </c>
      <c r="E57">
        <v>4</v>
      </c>
      <c r="F57">
        <v>0</v>
      </c>
      <c r="G57">
        <v>0</v>
      </c>
      <c r="H57">
        <v>0</v>
      </c>
      <c r="I57">
        <v>22</v>
      </c>
      <c r="J57">
        <v>0</v>
      </c>
      <c r="K57">
        <v>0</v>
      </c>
      <c r="L57">
        <f>I57-J57</f>
        <v>22</v>
      </c>
      <c r="M57">
        <v>44985</v>
      </c>
      <c r="N57" t="str">
        <f>VLOOKUP(B57,Hoja1!$B$1:$C$25,2,0)</f>
        <v>EDGAR JAVIER CASTAÑEDA GIL</v>
      </c>
      <c r="O57" t="str">
        <f>VLOOKUP(A57,#REF!,22,0)</f>
        <v>#REF!</v>
      </c>
    </row>
    <row r="58">
      <c r="A58">
        <v>199</v>
      </c>
      <c r="B58" t="str">
        <v>DAVID ENRIQUE CANTILLO MIER</v>
      </c>
      <c r="C58" t="str">
        <v>NO</v>
      </c>
      <c r="D58">
        <v>149</v>
      </c>
      <c r="E58">
        <v>54</v>
      </c>
      <c r="F58">
        <v>0</v>
      </c>
      <c r="G58">
        <v>0</v>
      </c>
      <c r="H58">
        <v>0</v>
      </c>
      <c r="I58">
        <v>203</v>
      </c>
      <c r="J58">
        <v>0</v>
      </c>
      <c r="K58">
        <v>2</v>
      </c>
      <c r="L58">
        <f>I58-J58</f>
        <v>203</v>
      </c>
      <c r="M58">
        <v>44985</v>
      </c>
      <c r="N58" t="str">
        <f>VLOOKUP(B58,Hoja1!$B$1:$C$25,2,0)</f>
        <v>EDGAR JAVIER CASTAÑEDA GIL</v>
      </c>
      <c r="O58" t="str">
        <f>VLOOKUP(A58,#REF!,22,0)</f>
        <v>#REF!</v>
      </c>
    </row>
    <row r="59">
      <c r="A59">
        <v>294</v>
      </c>
      <c r="B59" t="str">
        <v>DAVID ENRIQUE CANTILLO MIER</v>
      </c>
      <c r="C59" t="str">
        <v>SI</v>
      </c>
      <c r="D59" t="e">
        <v>#N/A</v>
      </c>
      <c r="E59" t="e">
        <v>#N/A</v>
      </c>
      <c r="F59">
        <v>0</v>
      </c>
      <c r="G59">
        <v>0</v>
      </c>
      <c r="H59">
        <v>0</v>
      </c>
      <c r="I59" t="e">
        <v>#N/A</v>
      </c>
      <c r="J59">
        <v>0</v>
      </c>
      <c r="K59">
        <v>0</v>
      </c>
      <c r="L59">
        <v>0</v>
      </c>
      <c r="M59" t="str">
        <v>N/A</v>
      </c>
      <c r="N59" t="str">
        <f>VLOOKUP(B59,Hoja1!$B$1:$C$25,2,0)</f>
        <v>EDGAR JAVIER CASTAÑEDA GIL</v>
      </c>
      <c r="O59" t="str">
        <f>VLOOKUP(A59,#REF!,22,0)</f>
        <v>#REF!</v>
      </c>
    </row>
    <row r="60">
      <c r="A60">
        <v>317</v>
      </c>
      <c r="B60" t="str">
        <v>DAVID ENRIQUE CANTILLO MIER</v>
      </c>
      <c r="C60" t="str">
        <v>NO</v>
      </c>
      <c r="D60">
        <v>420</v>
      </c>
      <c r="E60">
        <v>0</v>
      </c>
      <c r="F60">
        <v>0</v>
      </c>
      <c r="G60">
        <v>0</v>
      </c>
      <c r="H60">
        <v>420</v>
      </c>
      <c r="I60">
        <v>840</v>
      </c>
      <c r="J60">
        <v>0</v>
      </c>
      <c r="K60">
        <v>2</v>
      </c>
      <c r="L60">
        <f>I60-J60</f>
        <v>840</v>
      </c>
      <c r="M60">
        <v>45030</v>
      </c>
      <c r="N60" t="str">
        <f>VLOOKUP(B60,Hoja1!$B$1:$C$25,2,0)</f>
        <v>EDGAR JAVIER CASTAÑEDA GIL</v>
      </c>
      <c r="O60" t="str">
        <f>VLOOKUP(A60,#REF!,22,0)</f>
        <v>#REF!</v>
      </c>
    </row>
    <row r="61">
      <c r="A61" t="str">
        <v>22A</v>
      </c>
      <c r="B61" t="str">
        <v>DAVID ENRIQUE CANTILLO MIER</v>
      </c>
      <c r="C61" t="str">
        <v>NO</v>
      </c>
      <c r="D61">
        <v>741</v>
      </c>
      <c r="E61">
        <v>321</v>
      </c>
      <c r="F61">
        <v>0</v>
      </c>
      <c r="G61">
        <v>0</v>
      </c>
      <c r="H61">
        <v>0</v>
      </c>
      <c r="I61">
        <v>1062</v>
      </c>
      <c r="J61">
        <v>49</v>
      </c>
      <c r="K61">
        <v>7</v>
      </c>
      <c r="L61">
        <f>I61-J61</f>
        <v>1013</v>
      </c>
      <c r="M61">
        <v>45000</v>
      </c>
      <c r="N61" t="str">
        <f>VLOOKUP(B61,Hoja1!$B$1:$C$25,2,0)</f>
        <v>EDGAR JAVIER CASTAÑEDA GIL</v>
      </c>
      <c r="O61" t="str">
        <f>VLOOKUP(A61,#REF!,22,0)</f>
        <v>#REF!</v>
      </c>
    </row>
    <row r="62">
      <c r="A62">
        <v>99</v>
      </c>
      <c r="B62" t="str">
        <v>DIEGO ARMANDO GUTIERREZ ROJAS</v>
      </c>
      <c r="C62" t="str">
        <v>NO</v>
      </c>
      <c r="D62">
        <v>26</v>
      </c>
      <c r="E62">
        <v>38</v>
      </c>
      <c r="F62">
        <v>64</v>
      </c>
      <c r="G62">
        <v>0</v>
      </c>
      <c r="H62">
        <v>0</v>
      </c>
      <c r="I62">
        <v>128</v>
      </c>
      <c r="J62">
        <v>166</v>
      </c>
      <c r="K62">
        <v>1</v>
      </c>
      <c r="L62" t="str">
        <v>N/A</v>
      </c>
      <c r="N62" t="str">
        <f>VLOOKUP(B62,Hoja1!$B$1:$C$25,2,0)</f>
        <v>LUISA FERNANDA MEJIA CORREA</v>
      </c>
      <c r="O62" t="str">
        <f>VLOOKUP(A62,#REF!,22,0)</f>
        <v>#REF!</v>
      </c>
    </row>
    <row r="63">
      <c r="A63">
        <v>100</v>
      </c>
      <c r="B63" t="str">
        <v>DIEGO ARMANDO GUTIERREZ ROJAS</v>
      </c>
      <c r="C63" t="str">
        <v>NO</v>
      </c>
      <c r="D63">
        <v>489</v>
      </c>
      <c r="E63">
        <v>221</v>
      </c>
      <c r="F63">
        <v>500</v>
      </c>
      <c r="G63">
        <v>210</v>
      </c>
      <c r="H63">
        <v>0</v>
      </c>
      <c r="I63">
        <v>1420</v>
      </c>
      <c r="J63">
        <v>763</v>
      </c>
      <c r="K63">
        <v>4</v>
      </c>
      <c r="L63" t="str">
        <v>N/A</v>
      </c>
      <c r="N63" t="str">
        <f>VLOOKUP(B63,Hoja1!$B$1:$C$25,2,0)</f>
        <v>LUISA FERNANDA MEJIA CORREA</v>
      </c>
      <c r="O63" t="str">
        <f>VLOOKUP(A63,#REF!,22,0)</f>
        <v>#REF!</v>
      </c>
    </row>
    <row r="64">
      <c r="A64">
        <v>101</v>
      </c>
      <c r="B64" t="str">
        <v>DIEGO ARMANDO GUTIERREZ ROJAS</v>
      </c>
      <c r="C64" t="str">
        <v>NO</v>
      </c>
      <c r="D64">
        <v>273</v>
      </c>
      <c r="E64">
        <v>409</v>
      </c>
      <c r="F64">
        <v>580</v>
      </c>
      <c r="G64">
        <v>0</v>
      </c>
      <c r="H64">
        <v>102</v>
      </c>
      <c r="I64">
        <v>1364</v>
      </c>
      <c r="J64">
        <v>480</v>
      </c>
      <c r="K64">
        <v>2</v>
      </c>
      <c r="L64" t="str">
        <v>N/A</v>
      </c>
      <c r="N64" t="str">
        <f>VLOOKUP(B64,Hoja1!$B$1:$C$25,2,0)</f>
        <v>LUISA FERNANDA MEJIA CORREA</v>
      </c>
      <c r="O64" t="str">
        <f>VLOOKUP(A64,#REF!,22,0)</f>
        <v>#REF!</v>
      </c>
    </row>
    <row r="65">
      <c r="A65">
        <v>102</v>
      </c>
      <c r="B65" t="str">
        <v>DIEGO ARMANDO GUTIERREZ ROJAS</v>
      </c>
      <c r="C65" t="str">
        <v>NO</v>
      </c>
      <c r="D65">
        <v>233</v>
      </c>
      <c r="E65">
        <v>133</v>
      </c>
      <c r="F65">
        <v>0</v>
      </c>
      <c r="G65">
        <v>0</v>
      </c>
      <c r="H65">
        <v>0</v>
      </c>
      <c r="I65">
        <v>366</v>
      </c>
      <c r="J65">
        <v>321</v>
      </c>
      <c r="K65">
        <v>2</v>
      </c>
      <c r="L65" t="str">
        <v>N/A</v>
      </c>
      <c r="N65" t="str">
        <f>VLOOKUP(B65,Hoja1!$B$1:$C$25,2,0)</f>
        <v>LUISA FERNANDA MEJIA CORREA</v>
      </c>
      <c r="O65" t="str">
        <f>VLOOKUP(A65,#REF!,22,0)</f>
        <v>#REF!</v>
      </c>
    </row>
    <row r="66">
      <c r="A66">
        <v>103</v>
      </c>
      <c r="B66" t="str">
        <v>DIEGO ARMANDO GUTIERREZ ROJAS</v>
      </c>
      <c r="C66" t="str">
        <v>NO</v>
      </c>
      <c r="D66">
        <v>306</v>
      </c>
      <c r="E66">
        <v>185</v>
      </c>
      <c r="F66">
        <v>0</v>
      </c>
      <c r="G66">
        <v>0</v>
      </c>
      <c r="H66">
        <v>0</v>
      </c>
      <c r="I66">
        <v>491</v>
      </c>
      <c r="J66">
        <v>482</v>
      </c>
      <c r="K66">
        <v>2</v>
      </c>
      <c r="L66" t="str">
        <v>N/A</v>
      </c>
      <c r="N66" t="str">
        <f>VLOOKUP(B66,Hoja1!$B$1:$C$25,2,0)</f>
        <v>LUISA FERNANDA MEJIA CORREA</v>
      </c>
      <c r="O66" t="str">
        <f>VLOOKUP(A66,#REF!,22,0)</f>
        <v>#REF!</v>
      </c>
    </row>
    <row r="67">
      <c r="A67">
        <v>104</v>
      </c>
      <c r="B67" t="str">
        <v>DIEGO ARMANDO GUTIERREZ ROJAS</v>
      </c>
      <c r="C67" t="str">
        <v>NO</v>
      </c>
      <c r="D67">
        <v>234</v>
      </c>
      <c r="E67">
        <v>264</v>
      </c>
      <c r="F67">
        <v>0</v>
      </c>
      <c r="G67">
        <v>0</v>
      </c>
      <c r="H67">
        <v>0</v>
      </c>
      <c r="I67">
        <v>498</v>
      </c>
      <c r="J67">
        <v>0</v>
      </c>
      <c r="K67">
        <v>3</v>
      </c>
      <c r="L67">
        <f>I67-J67</f>
        <v>498</v>
      </c>
      <c r="N67" t="str">
        <f>VLOOKUP(B67,Hoja1!$B$1:$C$25,2,0)</f>
        <v>LUISA FERNANDA MEJIA CORREA</v>
      </c>
      <c r="O67" t="str">
        <f>VLOOKUP(A67,#REF!,22,0)</f>
        <v>#REF!</v>
      </c>
    </row>
    <row r="68">
      <c r="A68">
        <v>105</v>
      </c>
      <c r="B68" t="str">
        <v>DIEGO ARMANDO GUTIERREZ ROJAS</v>
      </c>
      <c r="C68" t="str">
        <v>NO</v>
      </c>
      <c r="D68">
        <v>174</v>
      </c>
      <c r="E68">
        <v>89</v>
      </c>
      <c r="F68">
        <v>0</v>
      </c>
      <c r="G68">
        <v>0</v>
      </c>
      <c r="H68">
        <v>0</v>
      </c>
      <c r="I68">
        <v>263</v>
      </c>
      <c r="J68">
        <v>300</v>
      </c>
      <c r="K68">
        <v>2</v>
      </c>
      <c r="L68" t="str">
        <v>N/A</v>
      </c>
      <c r="N68" t="str">
        <f>VLOOKUP(B68,Hoja1!$B$1:$C$25,2,0)</f>
        <v>LUISA FERNANDA MEJIA CORREA</v>
      </c>
      <c r="O68" t="str">
        <f>VLOOKUP(A68,#REF!,22,0)</f>
        <v>#REF!</v>
      </c>
    </row>
    <row r="69">
      <c r="A69">
        <v>185</v>
      </c>
      <c r="B69" t="str">
        <v>DIEGO ARMANDO GUTIERREZ ROJAS</v>
      </c>
      <c r="C69" t="str">
        <v>SI</v>
      </c>
      <c r="D69">
        <v>19</v>
      </c>
      <c r="E69">
        <v>35</v>
      </c>
      <c r="F69">
        <v>54</v>
      </c>
      <c r="G69">
        <v>0</v>
      </c>
      <c r="H69">
        <v>0</v>
      </c>
      <c r="I69">
        <v>108</v>
      </c>
      <c r="J69">
        <v>29</v>
      </c>
      <c r="K69">
        <v>0</v>
      </c>
      <c r="L69" t="str">
        <v>N/A</v>
      </c>
      <c r="N69" t="str">
        <f>VLOOKUP(B69,Hoja1!$B$1:$C$25,2,0)</f>
        <v>LUISA FERNANDA MEJIA CORREA</v>
      </c>
      <c r="O69" t="str">
        <f>VLOOKUP(A69,#REF!,22,0)</f>
        <v>#REF!</v>
      </c>
    </row>
    <row r="70">
      <c r="A70">
        <v>204</v>
      </c>
      <c r="B70" t="str">
        <v>DIEGO ARMANDO GUTIERREZ ROJAS</v>
      </c>
      <c r="C70" t="str">
        <v>SI</v>
      </c>
      <c r="D70">
        <v>61</v>
      </c>
      <c r="E70">
        <v>29</v>
      </c>
      <c r="F70">
        <v>90</v>
      </c>
      <c r="G70">
        <v>0</v>
      </c>
      <c r="H70">
        <v>0</v>
      </c>
      <c r="I70">
        <v>180</v>
      </c>
      <c r="J70">
        <v>97</v>
      </c>
      <c r="K70">
        <v>0</v>
      </c>
      <c r="L70" t="str">
        <v>N/A</v>
      </c>
      <c r="N70" t="str">
        <f>VLOOKUP(B70,Hoja1!$B$1:$C$25,2,0)</f>
        <v>LUISA FERNANDA MEJIA CORREA</v>
      </c>
      <c r="O70" t="str">
        <f>VLOOKUP(A70,#REF!,22,0)</f>
        <v>#REF!</v>
      </c>
    </row>
    <row r="71">
      <c r="A71" t="str">
        <v>99A</v>
      </c>
      <c r="B71" t="str">
        <v>DIEGO ARMANDO GUTIERREZ ROJAS</v>
      </c>
      <c r="C71" t="str">
        <v>NO</v>
      </c>
      <c r="D71">
        <v>350</v>
      </c>
      <c r="E71">
        <v>112</v>
      </c>
      <c r="F71">
        <v>0</v>
      </c>
      <c r="G71">
        <v>0</v>
      </c>
      <c r="H71">
        <v>0</v>
      </c>
      <c r="I71">
        <v>462</v>
      </c>
      <c r="J71">
        <v>374</v>
      </c>
      <c r="K71">
        <v>3</v>
      </c>
      <c r="L71" t="str">
        <v>N/A</v>
      </c>
      <c r="N71" t="str">
        <f>VLOOKUP(B71,Hoja1!$B$1:$C$25,2,0)</f>
        <v>LUISA FERNANDA MEJIA CORREA</v>
      </c>
      <c r="O71" t="str">
        <f>VLOOKUP(A71,#REF!,22,0)</f>
        <v>#REF!</v>
      </c>
    </row>
    <row r="72">
      <c r="A72">
        <v>344</v>
      </c>
      <c r="B72" t="str">
        <v>DIEGO ARMANDO GUTIERREZ ROJAS</v>
      </c>
      <c r="J72">
        <v>0</v>
      </c>
      <c r="N72" t="str">
        <f>VLOOKUP(B72,Hoja1!$B$1:$C$25,2,0)</f>
        <v>LUISA FERNANDA MEJIA CORREA</v>
      </c>
      <c r="O72" t="str">
        <f>VLOOKUP(A72,#REF!,22,0)</f>
        <v>#REF!</v>
      </c>
    </row>
    <row r="73">
      <c r="A73">
        <v>115</v>
      </c>
      <c r="B73" t="str">
        <v>DIEGO FERNANDO RICO GAMBA</v>
      </c>
      <c r="C73" t="str">
        <v>NO</v>
      </c>
      <c r="D73">
        <v>332</v>
      </c>
      <c r="E73">
        <v>123</v>
      </c>
      <c r="F73">
        <v>0</v>
      </c>
      <c r="G73">
        <v>0</v>
      </c>
      <c r="H73">
        <v>0</v>
      </c>
      <c r="I73">
        <v>455</v>
      </c>
      <c r="J73">
        <v>0</v>
      </c>
      <c r="K73">
        <v>3</v>
      </c>
      <c r="L73">
        <f>I73-J73</f>
        <v>455</v>
      </c>
      <c r="M73">
        <v>45000</v>
      </c>
      <c r="N73" t="str">
        <f>VLOOKUP(B73,Hoja1!$B$1:$C$25,2,0)</f>
        <v>LEONARDO PINZON URIBE</v>
      </c>
      <c r="O73" t="str">
        <f>VLOOKUP(A73,#REF!,22,0)</f>
        <v>#REF!</v>
      </c>
    </row>
    <row r="74">
      <c r="A74">
        <v>117</v>
      </c>
      <c r="B74" t="str">
        <v>DIEGO FERNANDO RICO GAMBA</v>
      </c>
      <c r="C74" t="str">
        <v>NO</v>
      </c>
      <c r="D74">
        <v>129</v>
      </c>
      <c r="E74">
        <v>127</v>
      </c>
      <c r="F74">
        <v>0</v>
      </c>
      <c r="G74">
        <v>0</v>
      </c>
      <c r="H74">
        <v>0</v>
      </c>
      <c r="I74">
        <v>256</v>
      </c>
      <c r="J74">
        <v>0</v>
      </c>
      <c r="K74">
        <v>2</v>
      </c>
      <c r="L74">
        <f>I74-J74</f>
        <v>256</v>
      </c>
      <c r="M74">
        <v>45000</v>
      </c>
      <c r="N74" t="str">
        <f>VLOOKUP(B74,Hoja1!$B$1:$C$25,2,0)</f>
        <v>LEONARDO PINZON URIBE</v>
      </c>
      <c r="O74" t="str">
        <f>VLOOKUP(A74,#REF!,22,0)</f>
        <v>#REF!</v>
      </c>
    </row>
    <row r="75">
      <c r="A75">
        <v>118</v>
      </c>
      <c r="B75" t="str">
        <v>DIEGO FERNANDO RICO GAMBA</v>
      </c>
      <c r="C75" t="str">
        <v>NO</v>
      </c>
      <c r="D75">
        <v>38</v>
      </c>
      <c r="E75">
        <v>74</v>
      </c>
      <c r="F75">
        <v>0</v>
      </c>
      <c r="G75">
        <v>0</v>
      </c>
      <c r="H75">
        <v>0</v>
      </c>
      <c r="I75">
        <v>112</v>
      </c>
      <c r="J75">
        <v>150</v>
      </c>
      <c r="K75">
        <v>1</v>
      </c>
      <c r="L75" t="str">
        <v>N/A</v>
      </c>
      <c r="N75" t="str">
        <f>VLOOKUP(B75,Hoja1!$B$1:$C$25,2,0)</f>
        <v>LEONARDO PINZON URIBE</v>
      </c>
      <c r="O75" t="str">
        <f>VLOOKUP(A75,#REF!,22,0)</f>
        <v>#REF!</v>
      </c>
    </row>
    <row r="76">
      <c r="A76">
        <v>167</v>
      </c>
      <c r="B76" t="str">
        <v>DIEGO FERNANDO RICO GAMBA</v>
      </c>
      <c r="C76" t="str">
        <v>NO</v>
      </c>
      <c r="D76">
        <v>60</v>
      </c>
      <c r="E76">
        <v>21</v>
      </c>
      <c r="F76">
        <v>0</v>
      </c>
      <c r="G76">
        <v>0</v>
      </c>
      <c r="H76">
        <v>0</v>
      </c>
      <c r="I76">
        <v>81</v>
      </c>
      <c r="J76">
        <v>0</v>
      </c>
      <c r="K76">
        <v>2</v>
      </c>
      <c r="L76">
        <f>I76-J76</f>
        <v>81</v>
      </c>
      <c r="M76">
        <v>44985</v>
      </c>
      <c r="N76" t="str">
        <f>VLOOKUP(B76,Hoja1!$B$1:$C$25,2,0)</f>
        <v>LEONARDO PINZON URIBE</v>
      </c>
      <c r="O76" t="str">
        <f>VLOOKUP(A76,#REF!,22,0)</f>
        <v>#REF!</v>
      </c>
    </row>
    <row r="77">
      <c r="A77">
        <v>168</v>
      </c>
      <c r="B77" t="str">
        <v>DIEGO FERNANDO RICO GAMBA</v>
      </c>
      <c r="C77" t="str">
        <v>NO</v>
      </c>
      <c r="D77">
        <v>30</v>
      </c>
      <c r="E77">
        <v>45</v>
      </c>
      <c r="F77">
        <v>0</v>
      </c>
      <c r="G77">
        <v>0</v>
      </c>
      <c r="H77">
        <v>0</v>
      </c>
      <c r="I77">
        <v>75</v>
      </c>
      <c r="J77">
        <v>0</v>
      </c>
      <c r="K77">
        <v>1</v>
      </c>
      <c r="L77">
        <f>I77-J77</f>
        <v>75</v>
      </c>
      <c r="M77">
        <v>44985</v>
      </c>
      <c r="N77" t="str">
        <f>VLOOKUP(B77,Hoja1!$B$1:$C$25,2,0)</f>
        <v>LEONARDO PINZON URIBE</v>
      </c>
      <c r="O77" t="str">
        <f>VLOOKUP(A77,#REF!,22,0)</f>
        <v>#REF!</v>
      </c>
    </row>
    <row r="78">
      <c r="A78">
        <v>169</v>
      </c>
      <c r="B78" t="str">
        <v>DIEGO FERNANDO RICO GAMBA</v>
      </c>
      <c r="C78" t="str">
        <v>NO</v>
      </c>
      <c r="D78">
        <v>66</v>
      </c>
      <c r="E78">
        <v>22</v>
      </c>
      <c r="F78">
        <v>0</v>
      </c>
      <c r="G78">
        <v>0</v>
      </c>
      <c r="H78">
        <v>0</v>
      </c>
      <c r="I78">
        <v>88</v>
      </c>
      <c r="J78">
        <v>0</v>
      </c>
      <c r="K78">
        <v>1</v>
      </c>
      <c r="L78">
        <f>I78-J78</f>
        <v>88</v>
      </c>
      <c r="M78">
        <v>44985</v>
      </c>
      <c r="N78" t="str">
        <f>VLOOKUP(B78,Hoja1!$B$1:$C$25,2,0)</f>
        <v>LEONARDO PINZON URIBE</v>
      </c>
      <c r="O78" t="str">
        <f>VLOOKUP(A78,#REF!,22,0)</f>
        <v>#REF!</v>
      </c>
    </row>
    <row r="79">
      <c r="A79">
        <v>170</v>
      </c>
      <c r="B79" t="str">
        <v>DIEGO FERNANDO RICO GAMBA</v>
      </c>
      <c r="C79" t="str">
        <v>NO</v>
      </c>
      <c r="D79">
        <v>239</v>
      </c>
      <c r="E79">
        <v>191</v>
      </c>
      <c r="F79">
        <v>0</v>
      </c>
      <c r="G79">
        <v>0</v>
      </c>
      <c r="H79">
        <v>0</v>
      </c>
      <c r="I79">
        <v>430</v>
      </c>
      <c r="J79">
        <v>0</v>
      </c>
      <c r="K79">
        <v>3</v>
      </c>
      <c r="L79">
        <f>I79-J79</f>
        <v>430</v>
      </c>
      <c r="N79" t="str">
        <f>VLOOKUP(B79,Hoja1!$B$1:$C$25,2,0)</f>
        <v>LEONARDO PINZON URIBE</v>
      </c>
      <c r="O79" t="str">
        <f>VLOOKUP(A79,#REF!,22,0)</f>
        <v>#REF!</v>
      </c>
    </row>
    <row r="80">
      <c r="A80">
        <v>179</v>
      </c>
      <c r="B80" t="str">
        <v>DIEGO FERNANDO RICO GAMBA</v>
      </c>
      <c r="C80" t="str">
        <v>NO</v>
      </c>
      <c r="D80">
        <v>2</v>
      </c>
      <c r="E80">
        <v>2</v>
      </c>
      <c r="F80">
        <v>0</v>
      </c>
      <c r="G80">
        <v>0</v>
      </c>
      <c r="H80">
        <v>0</v>
      </c>
      <c r="I80">
        <v>4</v>
      </c>
      <c r="J80">
        <v>0</v>
      </c>
      <c r="K80">
        <v>2</v>
      </c>
      <c r="L80">
        <f>I80-J80</f>
        <v>4</v>
      </c>
      <c r="N80" t="str">
        <f>VLOOKUP(B80,Hoja1!$B$1:$C$25,2,0)</f>
        <v>LEONARDO PINZON URIBE</v>
      </c>
      <c r="O80" t="str">
        <f>VLOOKUP(A80,#REF!,22,0)</f>
        <v>#REF!</v>
      </c>
    </row>
    <row r="81">
      <c r="A81">
        <v>226</v>
      </c>
      <c r="B81" t="str">
        <v>DIEGO FERNANDO RICO GAMBA</v>
      </c>
      <c r="C81" t="str">
        <v>NO</v>
      </c>
      <c r="D81">
        <v>84</v>
      </c>
      <c r="E81">
        <v>57</v>
      </c>
      <c r="F81">
        <v>0</v>
      </c>
      <c r="G81">
        <v>0</v>
      </c>
      <c r="H81">
        <v>0</v>
      </c>
      <c r="I81">
        <v>141</v>
      </c>
      <c r="J81">
        <v>0</v>
      </c>
      <c r="K81">
        <v>1</v>
      </c>
      <c r="L81">
        <f>I81-J81</f>
        <v>141</v>
      </c>
      <c r="M81">
        <v>44985</v>
      </c>
      <c r="N81" t="str">
        <f>VLOOKUP(B81,Hoja1!$B$1:$C$25,2,0)</f>
        <v>LEONARDO PINZON URIBE</v>
      </c>
      <c r="O81" t="str">
        <f>VLOOKUP(A81,#REF!,22,0)</f>
        <v>#REF!</v>
      </c>
    </row>
    <row r="82">
      <c r="A82">
        <v>239</v>
      </c>
      <c r="B82" t="str">
        <v>DIEGO FERNANDO RICO GAMBA</v>
      </c>
      <c r="C82" t="str">
        <v>NO</v>
      </c>
      <c r="D82">
        <v>0</v>
      </c>
      <c r="E82">
        <v>75</v>
      </c>
      <c r="F82">
        <v>0</v>
      </c>
      <c r="G82">
        <v>0</v>
      </c>
      <c r="H82">
        <v>0</v>
      </c>
      <c r="I82">
        <v>75</v>
      </c>
      <c r="J82">
        <v>0</v>
      </c>
      <c r="K82">
        <v>0</v>
      </c>
      <c r="L82">
        <f>I82-J82</f>
        <v>75</v>
      </c>
      <c r="M82">
        <v>45016</v>
      </c>
      <c r="N82" t="str">
        <f>VLOOKUP(B82,Hoja1!$B$1:$C$25,2,0)</f>
        <v>LEONARDO PINZON URIBE</v>
      </c>
      <c r="O82" t="str">
        <f>VLOOKUP(A82,#REF!,22,0)</f>
        <v>#REF!</v>
      </c>
    </row>
    <row r="83">
      <c r="A83">
        <v>240</v>
      </c>
      <c r="B83" t="str">
        <v>DIEGO FERNANDO RICO GAMBA</v>
      </c>
      <c r="C83" t="str">
        <v>NO</v>
      </c>
      <c r="D83">
        <v>18</v>
      </c>
      <c r="E83">
        <v>0</v>
      </c>
      <c r="F83">
        <v>0</v>
      </c>
      <c r="G83">
        <v>0</v>
      </c>
      <c r="H83">
        <v>0</v>
      </c>
      <c r="I83">
        <v>18</v>
      </c>
      <c r="J83">
        <v>0</v>
      </c>
      <c r="K83">
        <v>1</v>
      </c>
      <c r="L83">
        <v>0</v>
      </c>
      <c r="N83" t="str">
        <f>VLOOKUP(B83,Hoja1!$B$1:$C$25,2,0)</f>
        <v>LEONARDO PINZON URIBE</v>
      </c>
      <c r="O83" t="str">
        <f>VLOOKUP(A83,#REF!,22,0)</f>
        <v>#REF!</v>
      </c>
    </row>
    <row r="84">
      <c r="A84">
        <v>241</v>
      </c>
      <c r="B84" t="str">
        <v>DIEGO FERNANDO RICO GAMBA</v>
      </c>
      <c r="C84" t="str">
        <v>SI</v>
      </c>
      <c r="D84">
        <v>15</v>
      </c>
      <c r="E84">
        <v>0</v>
      </c>
      <c r="F84">
        <v>0</v>
      </c>
      <c r="G84">
        <v>0</v>
      </c>
      <c r="H84">
        <v>0</v>
      </c>
      <c r="I84">
        <v>15</v>
      </c>
      <c r="J84">
        <v>0</v>
      </c>
      <c r="K84">
        <v>0</v>
      </c>
      <c r="L84">
        <v>0</v>
      </c>
      <c r="N84" t="str">
        <f>VLOOKUP(B84,Hoja1!$B$1:$C$25,2,0)</f>
        <v>LEONARDO PINZON URIBE</v>
      </c>
      <c r="O84" t="str">
        <f>VLOOKUP(A84,#REF!,22,0)</f>
        <v>#REF!</v>
      </c>
    </row>
    <row r="85">
      <c r="A85">
        <v>247</v>
      </c>
      <c r="B85" t="str">
        <v>DIEGO FERNANDO RICO GAMBA</v>
      </c>
      <c r="C85" t="str">
        <v>SI</v>
      </c>
      <c r="D85" t="e">
        <v>#N/A</v>
      </c>
      <c r="E85" t="e">
        <v>#N/A</v>
      </c>
      <c r="F85">
        <v>0</v>
      </c>
      <c r="G85">
        <v>0</v>
      </c>
      <c r="H85">
        <v>0</v>
      </c>
      <c r="I85" t="e">
        <v>#N/A</v>
      </c>
      <c r="J85">
        <v>0</v>
      </c>
      <c r="K85">
        <v>1</v>
      </c>
      <c r="L85" t="str">
        <v>N/A</v>
      </c>
      <c r="N85" t="str">
        <f>VLOOKUP(B85,Hoja1!$B$1:$C$25,2,0)</f>
        <v>LEONARDO PINZON URIBE</v>
      </c>
      <c r="O85" t="str">
        <f>VLOOKUP(A85,#REF!,22,0)</f>
        <v>#REF!</v>
      </c>
    </row>
    <row r="86">
      <c r="A86">
        <v>286</v>
      </c>
      <c r="B86" t="str">
        <v>DIEGO FERNANDO RICO GAMBA</v>
      </c>
      <c r="C86" t="str">
        <v>SI</v>
      </c>
      <c r="D86" t="e">
        <v>#N/A</v>
      </c>
      <c r="E86" t="e">
        <v>#N/A</v>
      </c>
      <c r="F86">
        <v>0</v>
      </c>
      <c r="G86">
        <v>0</v>
      </c>
      <c r="H86">
        <v>0</v>
      </c>
      <c r="I86" t="e">
        <v>#N/A</v>
      </c>
      <c r="J86">
        <v>0</v>
      </c>
      <c r="K86">
        <v>0</v>
      </c>
      <c r="L86" t="str">
        <v>N/A</v>
      </c>
      <c r="N86" t="str">
        <f>VLOOKUP(B86,Hoja1!$B$1:$C$25,2,0)</f>
        <v>LEONARDO PINZON URIBE</v>
      </c>
      <c r="O86" t="str">
        <f>VLOOKUP(A86,#REF!,22,0)</f>
        <v>#REF!</v>
      </c>
    </row>
    <row r="87">
      <c r="A87">
        <v>292</v>
      </c>
      <c r="B87" t="str">
        <v>DIEGO FERNANDO RICO GAMBA</v>
      </c>
      <c r="C87" t="str">
        <v>NO</v>
      </c>
      <c r="D87">
        <v>50</v>
      </c>
      <c r="E87">
        <v>39</v>
      </c>
      <c r="F87">
        <v>0</v>
      </c>
      <c r="G87">
        <v>0</v>
      </c>
      <c r="H87">
        <v>0</v>
      </c>
      <c r="I87">
        <v>89</v>
      </c>
      <c r="J87">
        <v>0</v>
      </c>
      <c r="K87">
        <v>1</v>
      </c>
      <c r="L87">
        <f>I87-J87</f>
        <v>89</v>
      </c>
      <c r="M87">
        <v>44985</v>
      </c>
      <c r="N87" t="str">
        <f>VLOOKUP(B87,Hoja1!$B$1:$C$25,2,0)</f>
        <v>LEONARDO PINZON URIBE</v>
      </c>
      <c r="O87" t="str">
        <f>VLOOKUP(A87,#REF!,22,0)</f>
        <v>#REF!</v>
      </c>
    </row>
    <row r="88">
      <c r="A88">
        <v>306</v>
      </c>
      <c r="B88" t="str">
        <v>DIEGO FERNANDO RICO GAMBA</v>
      </c>
      <c r="C88" t="str">
        <v>SI</v>
      </c>
      <c r="D88" t="e">
        <v>#N/A</v>
      </c>
      <c r="E88" t="e">
        <v>#N/A</v>
      </c>
      <c r="F88">
        <v>0</v>
      </c>
      <c r="G88">
        <v>0</v>
      </c>
      <c r="H88">
        <v>0</v>
      </c>
      <c r="I88" t="e">
        <v>#N/A</v>
      </c>
      <c r="J88">
        <v>0</v>
      </c>
      <c r="K88">
        <v>0</v>
      </c>
      <c r="L88">
        <v>0</v>
      </c>
      <c r="N88" t="str">
        <f>VLOOKUP(B88,Hoja1!$B$1:$C$25,2,0)</f>
        <v>LEONARDO PINZON URIBE</v>
      </c>
      <c r="O88" t="str">
        <f>VLOOKUP(A88,#REF!,22,0)</f>
        <v>#REF!</v>
      </c>
    </row>
    <row r="89">
      <c r="A89">
        <v>313</v>
      </c>
      <c r="B89" t="str">
        <v>DIEGO FERNANDO RICO GAMBA</v>
      </c>
      <c r="C89" t="str">
        <v>SI</v>
      </c>
      <c r="D89">
        <v>26</v>
      </c>
      <c r="E89">
        <v>0</v>
      </c>
      <c r="F89">
        <v>0</v>
      </c>
      <c r="G89">
        <v>0</v>
      </c>
      <c r="H89">
        <v>0</v>
      </c>
      <c r="I89">
        <v>26</v>
      </c>
      <c r="J89">
        <v>0</v>
      </c>
      <c r="K89">
        <v>0</v>
      </c>
      <c r="L89">
        <v>0</v>
      </c>
      <c r="N89" t="str">
        <f>VLOOKUP(B89,Hoja1!$B$1:$C$25,2,0)</f>
        <v>LEONARDO PINZON URIBE</v>
      </c>
      <c r="O89" t="str">
        <f>VLOOKUP(A89,#REF!,22,0)</f>
        <v>#REF!</v>
      </c>
    </row>
    <row r="90">
      <c r="A90" t="str">
        <v>115A</v>
      </c>
      <c r="B90" t="str">
        <v>DIEGO FERNANDO RICO GAMBA</v>
      </c>
      <c r="C90" t="str">
        <v>NO</v>
      </c>
      <c r="D90">
        <v>100</v>
      </c>
      <c r="E90">
        <v>99</v>
      </c>
      <c r="F90">
        <v>0</v>
      </c>
      <c r="G90">
        <v>0</v>
      </c>
      <c r="H90">
        <v>19</v>
      </c>
      <c r="I90">
        <v>218</v>
      </c>
      <c r="J90">
        <v>0</v>
      </c>
      <c r="K90">
        <v>3</v>
      </c>
      <c r="L90">
        <f>I90-J90</f>
        <v>218</v>
      </c>
      <c r="M90">
        <v>44985</v>
      </c>
      <c r="N90" t="str">
        <f>VLOOKUP(B90,Hoja1!$B$1:$C$25,2,0)</f>
        <v>LEONARDO PINZON URIBE</v>
      </c>
      <c r="O90" t="str">
        <f>VLOOKUP(A90,#REF!,22,0)</f>
        <v>#REF!</v>
      </c>
    </row>
    <row r="91">
      <c r="A91" t="str">
        <v>167A</v>
      </c>
      <c r="B91" t="str">
        <v>DIEGO FERNANDO RICO GAMBA</v>
      </c>
      <c r="C91" t="str">
        <v>NO</v>
      </c>
      <c r="D91">
        <v>224</v>
      </c>
      <c r="E91">
        <v>204</v>
      </c>
      <c r="F91">
        <v>0</v>
      </c>
      <c r="G91">
        <v>0</v>
      </c>
      <c r="H91">
        <v>308</v>
      </c>
      <c r="I91">
        <v>736</v>
      </c>
      <c r="J91">
        <v>0</v>
      </c>
      <c r="K91">
        <v>2</v>
      </c>
      <c r="L91">
        <f>I91-J91</f>
        <v>736</v>
      </c>
      <c r="M91">
        <v>45000</v>
      </c>
      <c r="N91" t="str">
        <f>VLOOKUP(B91,Hoja1!$B$1:$C$25,2,0)</f>
        <v>LEONARDO PINZON URIBE</v>
      </c>
      <c r="O91" t="str">
        <f>VLOOKUP(A91,#REF!,22,0)</f>
        <v>#REF!</v>
      </c>
    </row>
    <row r="92">
      <c r="A92" t="str">
        <v>170A</v>
      </c>
      <c r="B92" t="str">
        <v>DIEGO FERNANDO RICO GAMBA</v>
      </c>
      <c r="C92" t="str">
        <v>NO</v>
      </c>
      <c r="D92">
        <v>55</v>
      </c>
      <c r="E92">
        <v>46</v>
      </c>
      <c r="F92">
        <v>0</v>
      </c>
      <c r="G92">
        <v>0</v>
      </c>
      <c r="H92">
        <v>2</v>
      </c>
      <c r="I92">
        <v>103</v>
      </c>
      <c r="J92">
        <v>0</v>
      </c>
      <c r="K92">
        <v>3</v>
      </c>
      <c r="L92">
        <f>I92-J92</f>
        <v>103</v>
      </c>
      <c r="M92">
        <v>44985</v>
      </c>
      <c r="N92" t="str">
        <f>VLOOKUP(B92,Hoja1!$B$1:$C$25,2,0)</f>
        <v>LEONARDO PINZON URIBE</v>
      </c>
      <c r="O92" t="str">
        <f>VLOOKUP(A92,#REF!,22,0)</f>
        <v>#REF!</v>
      </c>
    </row>
    <row r="93">
      <c r="A93" t="str">
        <v>179A</v>
      </c>
      <c r="B93" t="str">
        <v>DIEGO FERNANDO RICO GAMBA</v>
      </c>
      <c r="C93" t="str">
        <v>NO</v>
      </c>
      <c r="D93">
        <v>67</v>
      </c>
      <c r="E93">
        <v>136</v>
      </c>
      <c r="F93">
        <v>0</v>
      </c>
      <c r="G93">
        <v>0</v>
      </c>
      <c r="H93">
        <v>0</v>
      </c>
      <c r="I93">
        <v>203</v>
      </c>
      <c r="J93">
        <v>0</v>
      </c>
      <c r="K93">
        <v>2</v>
      </c>
      <c r="L93">
        <f>I93-J93</f>
        <v>203</v>
      </c>
      <c r="M93">
        <v>44985</v>
      </c>
      <c r="N93" t="str">
        <f>VLOOKUP(B93,Hoja1!$B$1:$C$25,2,0)</f>
        <v>LEONARDO PINZON URIBE</v>
      </c>
      <c r="O93" t="str">
        <f>VLOOKUP(A93,#REF!,22,0)</f>
        <v>#REF!</v>
      </c>
    </row>
    <row r="94">
      <c r="A94">
        <v>337</v>
      </c>
      <c r="B94" t="str">
        <v>DIEGO FERNANDO RICO GAMBA</v>
      </c>
      <c r="J94">
        <v>0</v>
      </c>
      <c r="N94" t="str">
        <f>VLOOKUP(B94,Hoja1!$B$1:$C$25,2,0)</f>
        <v>LEONARDO PINZON URIBE</v>
      </c>
      <c r="O94" t="str">
        <f>VLOOKUP(A94,#REF!,22,0)</f>
        <v>#REF!</v>
      </c>
    </row>
    <row r="95">
      <c r="A95">
        <v>338</v>
      </c>
      <c r="B95" t="str">
        <v>DIEGO FERNANDO RICO GAMBA</v>
      </c>
      <c r="J95">
        <v>0</v>
      </c>
      <c r="N95" t="str">
        <f>VLOOKUP(B95,Hoja1!$B$1:$C$25,2,0)</f>
        <v>LEONARDO PINZON URIBE</v>
      </c>
      <c r="O95" t="str">
        <f>VLOOKUP(A95,#REF!,22,0)</f>
        <v>#REF!</v>
      </c>
    </row>
    <row r="96">
      <c r="A96">
        <v>9</v>
      </c>
      <c r="B96" t="str">
        <v>ERICK LEONARDO SANTOS MORENO</v>
      </c>
      <c r="C96" t="str">
        <v>NO</v>
      </c>
      <c r="D96">
        <v>448</v>
      </c>
      <c r="E96">
        <v>225</v>
      </c>
      <c r="F96">
        <v>0</v>
      </c>
      <c r="G96">
        <v>0</v>
      </c>
      <c r="H96">
        <v>0</v>
      </c>
      <c r="I96">
        <v>673</v>
      </c>
      <c r="J96">
        <v>88</v>
      </c>
      <c r="K96">
        <v>3</v>
      </c>
      <c r="L96">
        <f>I96-J96</f>
        <v>585</v>
      </c>
      <c r="N96" t="str">
        <f>VLOOKUP(B96,Hoja1!$B$1:$C$25,2,0)</f>
        <v>LEONARDO PINZON URIBE</v>
      </c>
      <c r="O96" t="str">
        <f>VLOOKUP(A96,#REF!,22,0)</f>
        <v>#REF!</v>
      </c>
    </row>
    <row r="97">
      <c r="A97">
        <v>12</v>
      </c>
      <c r="B97" t="str">
        <v>ERICK LEONARDO SANTOS MORENO</v>
      </c>
      <c r="C97" t="str">
        <v>NO</v>
      </c>
      <c r="D97">
        <v>100</v>
      </c>
      <c r="E97">
        <v>107</v>
      </c>
      <c r="F97">
        <v>0</v>
      </c>
      <c r="G97">
        <v>0</v>
      </c>
      <c r="H97">
        <v>0</v>
      </c>
      <c r="I97">
        <v>207</v>
      </c>
      <c r="J97">
        <v>241</v>
      </c>
      <c r="K97">
        <v>4</v>
      </c>
      <c r="L97">
        <f>I97-J97</f>
        <v>-34</v>
      </c>
      <c r="N97" t="str">
        <f>VLOOKUP(B97,Hoja1!$B$1:$C$25,2,0)</f>
        <v>LEONARDO PINZON URIBE</v>
      </c>
      <c r="O97" t="str">
        <f>VLOOKUP(A97,#REF!,22,0)</f>
        <v>#REF!</v>
      </c>
    </row>
    <row r="98">
      <c r="A98">
        <v>18</v>
      </c>
      <c r="B98" t="str">
        <v>ERICK LEONARDO SANTOS MORENO</v>
      </c>
      <c r="C98" t="str">
        <v>NO</v>
      </c>
      <c r="D98">
        <v>113</v>
      </c>
      <c r="E98">
        <v>227</v>
      </c>
      <c r="F98">
        <v>0</v>
      </c>
      <c r="G98">
        <v>0</v>
      </c>
      <c r="H98">
        <v>0</v>
      </c>
      <c r="I98">
        <v>340</v>
      </c>
      <c r="J98">
        <v>11</v>
      </c>
      <c r="K98">
        <v>4</v>
      </c>
      <c r="L98">
        <f>I98-J98</f>
        <v>329</v>
      </c>
      <c r="N98" t="str">
        <f>VLOOKUP(B98,Hoja1!$B$1:$C$25,2,0)</f>
        <v>LEONARDO PINZON URIBE</v>
      </c>
      <c r="O98" t="str">
        <f>VLOOKUP(A98,#REF!,22,0)</f>
        <v>#REF!</v>
      </c>
    </row>
    <row r="99">
      <c r="A99">
        <v>96</v>
      </c>
      <c r="B99" t="str">
        <v>ERICK LEONARDO SANTOS MORENO</v>
      </c>
      <c r="C99" t="str">
        <v>NO</v>
      </c>
      <c r="D99">
        <v>7</v>
      </c>
      <c r="E99">
        <v>3</v>
      </c>
      <c r="F99">
        <v>0</v>
      </c>
      <c r="G99">
        <v>0</v>
      </c>
      <c r="H99">
        <v>0</v>
      </c>
      <c r="I99">
        <v>10</v>
      </c>
      <c r="J99">
        <v>251</v>
      </c>
      <c r="K99">
        <v>1</v>
      </c>
      <c r="L99">
        <v>0</v>
      </c>
      <c r="N99" t="str">
        <f>VLOOKUP(B99,Hoja1!$B$1:$C$25,2,0)</f>
        <v>LEONARDO PINZON URIBE</v>
      </c>
      <c r="O99" t="str">
        <f>VLOOKUP(A99,#REF!,22,0)</f>
        <v>#REF!</v>
      </c>
    </row>
    <row r="100">
      <c r="A100">
        <v>123</v>
      </c>
      <c r="B100" t="str">
        <v>ERICK LEONARDO SANTOS MORENO</v>
      </c>
      <c r="C100" t="str">
        <v>N</v>
      </c>
      <c r="D100">
        <v>32</v>
      </c>
      <c r="E100">
        <v>63</v>
      </c>
      <c r="F100">
        <v>0</v>
      </c>
      <c r="G100">
        <v>0</v>
      </c>
      <c r="H100">
        <v>0</v>
      </c>
      <c r="I100">
        <v>95</v>
      </c>
      <c r="J100">
        <v>20</v>
      </c>
      <c r="K100">
        <v>2</v>
      </c>
      <c r="L100">
        <f>I100-J100</f>
        <v>75</v>
      </c>
      <c r="N100" t="str">
        <f>VLOOKUP(B100,Hoja1!$B$1:$C$25,2,0)</f>
        <v>LEONARDO PINZON URIBE</v>
      </c>
      <c r="O100" t="str">
        <f>VLOOKUP(A100,#REF!,22,0)</f>
        <v>#REF!</v>
      </c>
    </row>
    <row r="101">
      <c r="A101">
        <v>207</v>
      </c>
      <c r="B101" t="str">
        <v>ERICK LEONARDO SANTOS MORENO</v>
      </c>
      <c r="D101">
        <v>30</v>
      </c>
      <c r="E101">
        <v>42</v>
      </c>
      <c r="F101">
        <v>41</v>
      </c>
      <c r="G101">
        <v>0</v>
      </c>
      <c r="H101">
        <v>31</v>
      </c>
      <c r="I101">
        <v>144</v>
      </c>
      <c r="J101">
        <v>0</v>
      </c>
      <c r="K101">
        <v>1</v>
      </c>
      <c r="L101">
        <v>0</v>
      </c>
      <c r="N101" t="str">
        <f>VLOOKUP(B101,Hoja1!$B$1:$C$25,2,0)</f>
        <v>LEONARDO PINZON URIBE</v>
      </c>
      <c r="O101" t="str">
        <f>VLOOKUP(A101,#REF!,22,0)</f>
        <v>#REF!</v>
      </c>
    </row>
    <row r="102">
      <c r="A102">
        <v>208</v>
      </c>
      <c r="B102" t="str">
        <v>ERICK LEONARDO SANTOS MORENO</v>
      </c>
      <c r="D102">
        <v>29</v>
      </c>
      <c r="E102">
        <v>95</v>
      </c>
      <c r="F102">
        <v>59</v>
      </c>
      <c r="G102">
        <v>0</v>
      </c>
      <c r="H102">
        <v>65</v>
      </c>
      <c r="I102">
        <v>248</v>
      </c>
      <c r="J102">
        <v>0</v>
      </c>
      <c r="K102">
        <v>1</v>
      </c>
      <c r="L102">
        <v>0</v>
      </c>
      <c r="N102" t="str">
        <f>VLOOKUP(B102,Hoja1!$B$1:$C$25,2,0)</f>
        <v>LEONARDO PINZON URIBE</v>
      </c>
      <c r="O102" t="str">
        <f>VLOOKUP(A102,#REF!,22,0)</f>
        <v>#REF!</v>
      </c>
    </row>
    <row r="103">
      <c r="A103">
        <v>233</v>
      </c>
      <c r="B103" t="str">
        <v>ERICK LEONARDO SANTOS MORENO</v>
      </c>
      <c r="C103" t="str">
        <v>NO</v>
      </c>
      <c r="D103">
        <v>11</v>
      </c>
      <c r="E103">
        <v>100</v>
      </c>
      <c r="F103">
        <v>0</v>
      </c>
      <c r="G103">
        <v>0</v>
      </c>
      <c r="H103">
        <v>0</v>
      </c>
      <c r="I103">
        <v>111</v>
      </c>
      <c r="J103">
        <v>177</v>
      </c>
      <c r="K103">
        <v>1</v>
      </c>
      <c r="L103">
        <f>I103-J103</f>
        <v>-66</v>
      </c>
      <c r="N103" t="str">
        <f>VLOOKUP(B103,Hoja1!$B$1:$C$25,2,0)</f>
        <v>LEONARDO PINZON URIBE</v>
      </c>
      <c r="O103" t="str">
        <f>VLOOKUP(A103,#REF!,22,0)</f>
        <v>#REF!</v>
      </c>
    </row>
    <row r="104">
      <c r="A104">
        <v>235</v>
      </c>
      <c r="B104" t="str">
        <v>ERICK LEONARDO SANTOS MORENO</v>
      </c>
      <c r="C104" t="str">
        <v>NO</v>
      </c>
      <c r="D104">
        <v>88</v>
      </c>
      <c r="E104">
        <v>2</v>
      </c>
      <c r="F104">
        <v>0</v>
      </c>
      <c r="G104">
        <v>0</v>
      </c>
      <c r="H104">
        <v>0</v>
      </c>
      <c r="I104">
        <v>90</v>
      </c>
      <c r="J104">
        <v>40</v>
      </c>
      <c r="K104">
        <v>1</v>
      </c>
      <c r="L104">
        <f>I104-J104</f>
        <v>50</v>
      </c>
      <c r="N104" t="str">
        <f>VLOOKUP(B104,Hoja1!$B$1:$C$25,2,0)</f>
        <v>LEONARDO PINZON URIBE</v>
      </c>
      <c r="O104" t="str">
        <f>VLOOKUP(A104,#REF!,22,0)</f>
        <v>#REF!</v>
      </c>
    </row>
    <row r="105">
      <c r="A105" t="str">
        <v>96A</v>
      </c>
      <c r="B105" t="str">
        <v>ERICK LEONARDO SANTOS MORENO</v>
      </c>
      <c r="C105" t="str">
        <v>NO</v>
      </c>
      <c r="D105">
        <v>209</v>
      </c>
      <c r="E105">
        <v>89</v>
      </c>
      <c r="F105">
        <v>108</v>
      </c>
      <c r="G105">
        <v>0</v>
      </c>
      <c r="H105">
        <v>86</v>
      </c>
      <c r="I105">
        <v>492</v>
      </c>
      <c r="J105">
        <v>0</v>
      </c>
      <c r="K105">
        <v>1</v>
      </c>
      <c r="L105">
        <v>0</v>
      </c>
      <c r="N105" t="str">
        <f>VLOOKUP(B105,Hoja1!$B$1:$C$25,2,0)</f>
        <v>LEONARDO PINZON URIBE</v>
      </c>
      <c r="O105" t="str">
        <f>VLOOKUP(A105,#REF!,22,0)</f>
        <v>#REF!</v>
      </c>
    </row>
    <row r="106">
      <c r="A106" t="str">
        <v>9A</v>
      </c>
      <c r="B106" t="str">
        <v>ERICK LEONARDO SANTOS MORENO</v>
      </c>
      <c r="C106" t="str">
        <v>NO</v>
      </c>
      <c r="D106">
        <v>510</v>
      </c>
      <c r="E106">
        <v>525</v>
      </c>
      <c r="F106">
        <v>525</v>
      </c>
      <c r="G106">
        <v>0</v>
      </c>
      <c r="H106">
        <v>610</v>
      </c>
      <c r="I106">
        <v>2170</v>
      </c>
      <c r="J106">
        <v>153</v>
      </c>
      <c r="K106">
        <v>3</v>
      </c>
      <c r="L106">
        <f>I106-J106</f>
        <v>2017</v>
      </c>
      <c r="N106" t="str">
        <f>VLOOKUP(B106,Hoja1!$B$1:$C$25,2,0)</f>
        <v>LEONARDO PINZON URIBE</v>
      </c>
      <c r="O106" t="str">
        <f>VLOOKUP(A106,#REF!,22,0)</f>
        <v>#REF!</v>
      </c>
    </row>
    <row r="107">
      <c r="A107" t="str">
        <v>9B</v>
      </c>
      <c r="B107" t="str">
        <v>ERICK LEONARDO SANTOS MORENO</v>
      </c>
      <c r="C107" t="str">
        <v>NO</v>
      </c>
      <c r="D107">
        <v>177</v>
      </c>
      <c r="E107">
        <v>184</v>
      </c>
      <c r="F107">
        <v>100</v>
      </c>
      <c r="G107">
        <v>0</v>
      </c>
      <c r="H107">
        <v>177</v>
      </c>
      <c r="I107">
        <v>638</v>
      </c>
      <c r="J107">
        <v>0</v>
      </c>
      <c r="K107">
        <v>3</v>
      </c>
      <c r="L107">
        <f>I107-J107</f>
        <v>638</v>
      </c>
      <c r="N107" t="str">
        <f>VLOOKUP(B107,Hoja1!$B$1:$C$25,2,0)</f>
        <v>LEONARDO PINZON URIBE</v>
      </c>
      <c r="O107" t="str">
        <f>VLOOKUP(A107,#REF!,22,0)</f>
        <v>#REF!</v>
      </c>
    </row>
    <row r="108">
      <c r="A108">
        <v>200</v>
      </c>
      <c r="B108" t="str">
        <v>ERICK LEONARDO SANTOS MORENO</v>
      </c>
      <c r="C108" t="str">
        <v>SI</v>
      </c>
      <c r="D108">
        <v>14</v>
      </c>
      <c r="E108">
        <v>7</v>
      </c>
      <c r="F108">
        <v>0</v>
      </c>
      <c r="G108">
        <v>0</v>
      </c>
      <c r="H108">
        <v>0</v>
      </c>
      <c r="I108">
        <v>21</v>
      </c>
      <c r="J108">
        <v>0</v>
      </c>
      <c r="K108">
        <v>0</v>
      </c>
      <c r="L108">
        <v>0</v>
      </c>
      <c r="N108" t="str">
        <f>VLOOKUP(B108,Hoja1!$B$1:$C$25,2,0)</f>
        <v>LEONARDO PINZON URIBE</v>
      </c>
      <c r="O108" t="str">
        <f>VLOOKUP(A108,#REF!,22,0)</f>
        <v>#REF!</v>
      </c>
    </row>
    <row r="109">
      <c r="A109">
        <v>125</v>
      </c>
      <c r="B109" t="str">
        <v>MILDRED YULIANA SAAVEDRA AGUILAR</v>
      </c>
      <c r="C109" t="str">
        <v>NO</v>
      </c>
      <c r="D109">
        <v>26</v>
      </c>
      <c r="E109">
        <v>0</v>
      </c>
      <c r="F109">
        <v>0</v>
      </c>
      <c r="G109">
        <v>0</v>
      </c>
      <c r="H109">
        <v>0</v>
      </c>
      <c r="I109">
        <v>26</v>
      </c>
      <c r="J109">
        <v>26</v>
      </c>
      <c r="K109">
        <v>0</v>
      </c>
      <c r="L109" t="str">
        <v>N/A</v>
      </c>
      <c r="N109" t="str">
        <f>VLOOKUP(B109,Hoja1!$B$1:$C$25,2,0)</f>
        <v>LEONARDO PINZON URIBE</v>
      </c>
      <c r="O109" t="str">
        <f>VLOOKUP(A109,#REF!,22,0)</f>
        <v>#REF!</v>
      </c>
    </row>
    <row r="110">
      <c r="A110">
        <v>126</v>
      </c>
      <c r="B110" t="str">
        <v>MILDRED YULIANA SAAVEDRA AGUILAR</v>
      </c>
      <c r="C110" t="str">
        <v>NO</v>
      </c>
      <c r="D110">
        <v>100</v>
      </c>
      <c r="E110">
        <v>99</v>
      </c>
      <c r="F110">
        <v>0</v>
      </c>
      <c r="G110">
        <v>0</v>
      </c>
      <c r="H110">
        <v>19</v>
      </c>
      <c r="I110">
        <v>218</v>
      </c>
      <c r="J110">
        <v>119</v>
      </c>
      <c r="K110">
        <v>2</v>
      </c>
      <c r="L110">
        <f>I110-J110</f>
        <v>99</v>
      </c>
      <c r="M110">
        <v>44985</v>
      </c>
      <c r="N110" t="str">
        <f>VLOOKUP(B110,Hoja1!$B$1:$C$25,2,0)</f>
        <v>LEONARDO PINZON URIBE</v>
      </c>
      <c r="O110" t="str">
        <f>VLOOKUP(A110,#REF!,22,0)</f>
        <v>#REF!</v>
      </c>
    </row>
    <row r="111">
      <c r="A111">
        <v>127</v>
      </c>
      <c r="B111" t="str">
        <v>MILDRED YULIANA SAAVEDRA AGUILAR</v>
      </c>
      <c r="C111" t="str">
        <v>NO</v>
      </c>
      <c r="D111">
        <v>224</v>
      </c>
      <c r="E111">
        <v>204</v>
      </c>
      <c r="F111">
        <v>0</v>
      </c>
      <c r="G111">
        <v>0</v>
      </c>
      <c r="H111">
        <v>308</v>
      </c>
      <c r="I111">
        <v>736</v>
      </c>
      <c r="J111">
        <v>276</v>
      </c>
      <c r="K111">
        <v>2</v>
      </c>
      <c r="L111">
        <f>I111-J111</f>
        <v>460</v>
      </c>
      <c r="M111">
        <v>45016</v>
      </c>
      <c r="N111" t="str">
        <f>VLOOKUP(B111,Hoja1!$B$1:$C$25,2,0)</f>
        <v>LEONARDO PINZON URIBE</v>
      </c>
      <c r="O111" t="str">
        <f>VLOOKUP(A111,#REF!,22,0)</f>
        <v>#REF!</v>
      </c>
    </row>
    <row r="112">
      <c r="A112">
        <v>128</v>
      </c>
      <c r="B112" t="str">
        <v>MILDRED YULIANA SAAVEDRA AGUILAR</v>
      </c>
      <c r="C112" t="str">
        <v>NO</v>
      </c>
      <c r="D112">
        <v>55</v>
      </c>
      <c r="E112">
        <v>46</v>
      </c>
      <c r="F112">
        <v>0</v>
      </c>
      <c r="G112">
        <v>0</v>
      </c>
      <c r="H112">
        <v>2</v>
      </c>
      <c r="I112">
        <v>103</v>
      </c>
      <c r="J112">
        <v>135</v>
      </c>
      <c r="K112">
        <v>1</v>
      </c>
      <c r="L112" t="str">
        <v>N/A</v>
      </c>
      <c r="N112" t="str">
        <f>VLOOKUP(B112,Hoja1!$B$1:$C$25,2,0)</f>
        <v>LEONARDO PINZON URIBE</v>
      </c>
      <c r="O112" t="str">
        <f>VLOOKUP(A112,#REF!,22,0)</f>
        <v>#REF!</v>
      </c>
    </row>
    <row r="113">
      <c r="A113">
        <v>130</v>
      </c>
      <c r="B113" t="str">
        <v>MILDRED YULIANA SAAVEDRA AGUILAR</v>
      </c>
      <c r="C113" t="str">
        <v>NO</v>
      </c>
      <c r="D113">
        <v>67</v>
      </c>
      <c r="E113">
        <v>136</v>
      </c>
      <c r="F113">
        <v>0</v>
      </c>
      <c r="G113">
        <v>0</v>
      </c>
      <c r="H113">
        <v>0</v>
      </c>
      <c r="I113">
        <v>203</v>
      </c>
      <c r="J113">
        <v>175</v>
      </c>
      <c r="K113">
        <v>1</v>
      </c>
      <c r="L113" t="str">
        <v>N/A</v>
      </c>
      <c r="N113" t="str">
        <f>VLOOKUP(B113,Hoja1!$B$1:$C$25,2,0)</f>
        <v>LEONARDO PINZON URIBE</v>
      </c>
      <c r="O113" t="str">
        <f>VLOOKUP(A113,#REF!,22,0)</f>
        <v>#REF!</v>
      </c>
    </row>
    <row r="114">
      <c r="A114">
        <v>144</v>
      </c>
      <c r="B114" t="str">
        <v>NAYIBE XIMENA PICO ESPITA</v>
      </c>
      <c r="C114" t="str">
        <v>NO</v>
      </c>
      <c r="D114">
        <v>198</v>
      </c>
      <c r="E114">
        <v>421</v>
      </c>
      <c r="F114">
        <v>0</v>
      </c>
      <c r="G114">
        <v>0</v>
      </c>
      <c r="H114">
        <v>0</v>
      </c>
      <c r="I114">
        <v>619</v>
      </c>
      <c r="J114">
        <v>216</v>
      </c>
      <c r="K114">
        <v>3</v>
      </c>
      <c r="L114">
        <f>I114-J114</f>
        <v>403</v>
      </c>
      <c r="M114">
        <v>45000</v>
      </c>
      <c r="N114" t="str">
        <f>VLOOKUP(B114,Hoja1!$B$1:$C$25,2,0)</f>
        <v>LUISA FERNANDA MEJIA CORREA</v>
      </c>
      <c r="O114" t="str">
        <f>VLOOKUP(A114,#REF!,22,0)</f>
        <v>#REF!</v>
      </c>
    </row>
    <row r="115">
      <c r="A115">
        <v>145</v>
      </c>
      <c r="B115" t="str">
        <v>NAYIBE XIMENA PICO ESPITA</v>
      </c>
      <c r="C115" t="str">
        <v>NO</v>
      </c>
      <c r="D115">
        <v>171</v>
      </c>
      <c r="E115">
        <v>50</v>
      </c>
      <c r="F115">
        <v>136</v>
      </c>
      <c r="G115">
        <v>85</v>
      </c>
      <c r="H115">
        <v>0</v>
      </c>
      <c r="I115">
        <v>442</v>
      </c>
      <c r="J115">
        <v>149</v>
      </c>
      <c r="K115">
        <v>1</v>
      </c>
      <c r="L115">
        <f>I115-J115</f>
        <v>293</v>
      </c>
      <c r="M115">
        <v>45000</v>
      </c>
      <c r="N115" t="str">
        <f>VLOOKUP(B115,Hoja1!$B$1:$C$25,2,0)</f>
        <v>LUISA FERNANDA MEJIA CORREA</v>
      </c>
      <c r="O115" t="str">
        <f>VLOOKUP(A115,#REF!,22,0)</f>
        <v>#REF!</v>
      </c>
    </row>
    <row r="116">
      <c r="A116">
        <v>146</v>
      </c>
      <c r="B116" t="str">
        <v>NAYIBE XIMENA PICO ESPITA</v>
      </c>
      <c r="C116" t="str">
        <v>NO</v>
      </c>
      <c r="D116">
        <v>256</v>
      </c>
      <c r="E116">
        <v>250</v>
      </c>
      <c r="F116">
        <v>0</v>
      </c>
      <c r="G116">
        <v>0</v>
      </c>
      <c r="H116">
        <v>0</v>
      </c>
      <c r="I116">
        <v>506</v>
      </c>
      <c r="J116">
        <v>65</v>
      </c>
      <c r="K116">
        <v>3</v>
      </c>
      <c r="L116">
        <f>I116-J116</f>
        <v>441</v>
      </c>
      <c r="M116">
        <v>45000</v>
      </c>
      <c r="N116" t="str">
        <f>VLOOKUP(B116,Hoja1!$B$1:$C$25,2,0)</f>
        <v>LUISA FERNANDA MEJIA CORREA</v>
      </c>
      <c r="O116" t="str">
        <f>VLOOKUP(A116,#REF!,22,0)</f>
        <v>#REF!</v>
      </c>
    </row>
    <row r="117">
      <c r="A117">
        <v>147</v>
      </c>
      <c r="B117" t="str">
        <v>NAYIBE XIMENA PICO ESPITA</v>
      </c>
      <c r="C117" t="str">
        <v>NO</v>
      </c>
      <c r="D117">
        <v>42</v>
      </c>
      <c r="E117">
        <v>88</v>
      </c>
      <c r="F117">
        <v>0</v>
      </c>
      <c r="G117">
        <v>0</v>
      </c>
      <c r="H117">
        <v>0</v>
      </c>
      <c r="I117">
        <v>130</v>
      </c>
      <c r="J117">
        <v>43</v>
      </c>
      <c r="K117">
        <v>1</v>
      </c>
      <c r="L117">
        <f>I117-J117</f>
        <v>87</v>
      </c>
      <c r="M117">
        <v>44985</v>
      </c>
      <c r="N117" t="str">
        <f>VLOOKUP(B117,Hoja1!$B$1:$C$25,2,0)</f>
        <v>LUISA FERNANDA MEJIA CORREA</v>
      </c>
      <c r="O117" t="str">
        <f>VLOOKUP(A117,#REF!,22,0)</f>
        <v>#REF!</v>
      </c>
    </row>
    <row r="118">
      <c r="A118">
        <v>193</v>
      </c>
      <c r="B118" t="str">
        <v>NAYIBE XIMENA PICO ESPITA</v>
      </c>
      <c r="C118" t="str">
        <v>SI</v>
      </c>
      <c r="D118">
        <v>50</v>
      </c>
      <c r="E118">
        <v>166</v>
      </c>
      <c r="F118">
        <v>0</v>
      </c>
      <c r="G118">
        <v>0</v>
      </c>
      <c r="H118">
        <v>0</v>
      </c>
      <c r="I118">
        <v>216</v>
      </c>
      <c r="J118">
        <v>39</v>
      </c>
      <c r="K118">
        <v>1</v>
      </c>
      <c r="L118">
        <f>I118-J118</f>
        <v>177</v>
      </c>
      <c r="M118">
        <v>44985</v>
      </c>
      <c r="N118" t="str">
        <f>VLOOKUP(B118,Hoja1!$B$1:$C$25,2,0)</f>
        <v>LUISA FERNANDA MEJIA CORREA</v>
      </c>
      <c r="O118" t="str">
        <f>VLOOKUP(A118,#REF!,22,0)</f>
        <v>#REF!</v>
      </c>
    </row>
    <row r="119">
      <c r="A119">
        <v>211</v>
      </c>
      <c r="B119" t="str">
        <v>NAYIBE XIMENA PICO ESPITA</v>
      </c>
      <c r="C119" t="str">
        <v>NO</v>
      </c>
      <c r="D119">
        <v>69</v>
      </c>
      <c r="E119">
        <v>94</v>
      </c>
      <c r="F119">
        <v>0</v>
      </c>
      <c r="G119">
        <v>0</v>
      </c>
      <c r="H119">
        <v>0</v>
      </c>
      <c r="I119">
        <v>163</v>
      </c>
      <c r="J119">
        <v>0</v>
      </c>
      <c r="K119">
        <v>0</v>
      </c>
      <c r="L119">
        <f>I119-J119</f>
        <v>163</v>
      </c>
      <c r="M119">
        <v>45046</v>
      </c>
      <c r="N119" t="str">
        <f>VLOOKUP(B119,Hoja1!$B$1:$C$25,2,0)</f>
        <v>LUISA FERNANDA MEJIA CORREA</v>
      </c>
      <c r="O119" t="str">
        <f>VLOOKUP(A119,#REF!,22,0)</f>
        <v>#REF!</v>
      </c>
    </row>
    <row r="120">
      <c r="A120">
        <v>257</v>
      </c>
      <c r="B120" t="str">
        <v>MILDRED YULIANA SAAVEDRA AGUILAR</v>
      </c>
      <c r="C120" t="str">
        <v>SI</v>
      </c>
      <c r="D120">
        <v>45</v>
      </c>
      <c r="E120">
        <v>40</v>
      </c>
      <c r="F120">
        <v>0</v>
      </c>
      <c r="G120">
        <v>0</v>
      </c>
      <c r="H120">
        <v>18</v>
      </c>
      <c r="I120">
        <v>103</v>
      </c>
      <c r="J120">
        <v>0</v>
      </c>
      <c r="K120">
        <v>0</v>
      </c>
      <c r="L120">
        <f>I120-J120</f>
        <v>103</v>
      </c>
      <c r="M120">
        <v>45016</v>
      </c>
      <c r="N120" t="str">
        <f>VLOOKUP(B120,Hoja1!$B$1:$C$25,2,0)</f>
        <v>LEONARDO PINZON URIBE</v>
      </c>
      <c r="O120" t="str">
        <f>VLOOKUP(A120,#REF!,22,0)</f>
        <v>#REF!</v>
      </c>
    </row>
    <row r="121">
      <c r="A121">
        <v>259</v>
      </c>
      <c r="B121" t="str">
        <v>MILDRED YULIANA SAAVEDRA AGUILAR</v>
      </c>
      <c r="C121" t="str">
        <v>SI</v>
      </c>
      <c r="D121">
        <v>5</v>
      </c>
      <c r="E121">
        <v>20</v>
      </c>
      <c r="F121">
        <v>0</v>
      </c>
      <c r="G121">
        <v>0</v>
      </c>
      <c r="H121">
        <v>0</v>
      </c>
      <c r="I121">
        <v>25</v>
      </c>
      <c r="J121">
        <v>40</v>
      </c>
      <c r="K121">
        <v>0</v>
      </c>
      <c r="L121" t="str">
        <v>N/A</v>
      </c>
      <c r="N121" t="str">
        <f>VLOOKUP(B121,Hoja1!$B$1:$C$25,2,0)</f>
        <v>LEONARDO PINZON URIBE</v>
      </c>
      <c r="O121" t="str">
        <f>VLOOKUP(A121,#REF!,22,0)</f>
        <v>#REF!</v>
      </c>
    </row>
    <row r="122">
      <c r="A122">
        <v>277</v>
      </c>
      <c r="B122" t="str">
        <v>MILDRED YULIANA SAAVEDRA AGUILAR</v>
      </c>
      <c r="C122" t="str">
        <v>NO</v>
      </c>
      <c r="D122">
        <v>340</v>
      </c>
      <c r="E122">
        <v>135</v>
      </c>
      <c r="F122">
        <v>0</v>
      </c>
      <c r="G122">
        <v>0</v>
      </c>
      <c r="H122">
        <v>0</v>
      </c>
      <c r="I122">
        <v>475</v>
      </c>
      <c r="J122">
        <v>0</v>
      </c>
      <c r="K122">
        <v>1</v>
      </c>
      <c r="L122">
        <f>I122-J122</f>
        <v>475</v>
      </c>
      <c r="M122">
        <v>45016</v>
      </c>
      <c r="N122" t="str">
        <f>VLOOKUP(B122,Hoja1!$B$1:$C$25,2,0)</f>
        <v>LEONARDO PINZON URIBE</v>
      </c>
      <c r="O122" t="str">
        <f>VLOOKUP(A122,#REF!,22,0)</f>
        <v>#REF!</v>
      </c>
    </row>
    <row r="123">
      <c r="A123">
        <v>279</v>
      </c>
      <c r="B123" t="str">
        <v>MILDRED YULIANA SAAVEDRA AGUILAR</v>
      </c>
      <c r="C123" t="str">
        <v>NO</v>
      </c>
      <c r="D123">
        <v>144</v>
      </c>
      <c r="E123">
        <v>112</v>
      </c>
      <c r="F123">
        <v>0</v>
      </c>
      <c r="G123">
        <v>0</v>
      </c>
      <c r="H123">
        <v>20</v>
      </c>
      <c r="I123">
        <v>276</v>
      </c>
      <c r="J123">
        <v>0</v>
      </c>
      <c r="K123">
        <v>1</v>
      </c>
      <c r="L123">
        <f>I123-J123</f>
        <v>276</v>
      </c>
      <c r="M123">
        <v>45016</v>
      </c>
      <c r="N123" t="str">
        <f>VLOOKUP(B123,Hoja1!$B$1:$C$25,2,0)</f>
        <v>LEONARDO PINZON URIBE</v>
      </c>
      <c r="O123" t="str">
        <f>VLOOKUP(A123,#REF!,22,0)</f>
        <v>#REF!</v>
      </c>
    </row>
    <row r="124">
      <c r="A124">
        <v>301</v>
      </c>
      <c r="B124" t="str">
        <v>MILDRED YULIANA SAAVEDRA AGUILAR</v>
      </c>
      <c r="C124" t="str">
        <v>SI</v>
      </c>
      <c r="D124">
        <v>99</v>
      </c>
      <c r="E124">
        <v>101</v>
      </c>
      <c r="F124">
        <v>0</v>
      </c>
      <c r="G124">
        <v>0</v>
      </c>
      <c r="H124">
        <v>74</v>
      </c>
      <c r="I124">
        <v>274</v>
      </c>
      <c r="J124">
        <v>0</v>
      </c>
      <c r="K124">
        <v>0</v>
      </c>
      <c r="L124">
        <f>I124-J124</f>
        <v>274</v>
      </c>
      <c r="M124">
        <v>45016</v>
      </c>
      <c r="N124" t="str">
        <f>VLOOKUP(B124,Hoja1!$B$1:$C$25,2,0)</f>
        <v>LEONARDO PINZON URIBE</v>
      </c>
      <c r="O124" t="str">
        <f>VLOOKUP(A124,#REF!,22,0)</f>
        <v>#REF!</v>
      </c>
    </row>
    <row r="125">
      <c r="A125" t="str">
        <v>127A</v>
      </c>
      <c r="B125" t="str">
        <v>MILDRED YULIANA SAAVEDRA AGUILAR</v>
      </c>
      <c r="C125" t="str">
        <v>NO</v>
      </c>
      <c r="D125">
        <v>279</v>
      </c>
      <c r="E125">
        <v>276</v>
      </c>
      <c r="F125">
        <v>0</v>
      </c>
      <c r="G125">
        <v>0</v>
      </c>
      <c r="H125">
        <v>140</v>
      </c>
      <c r="I125">
        <v>695</v>
      </c>
      <c r="J125">
        <v>72</v>
      </c>
      <c r="K125">
        <v>2</v>
      </c>
      <c r="L125">
        <f>I125-J125</f>
        <v>623</v>
      </c>
      <c r="M125">
        <v>45016</v>
      </c>
      <c r="N125" t="str">
        <f>VLOOKUP(B125,Hoja1!$B$1:$C$25,2,0)</f>
        <v>LEONARDO PINZON URIBE</v>
      </c>
      <c r="O125" t="str">
        <f>VLOOKUP(A125,#REF!,22,0)</f>
        <v>#REF!</v>
      </c>
    </row>
    <row r="126">
      <c r="A126" t="str">
        <v>127B</v>
      </c>
      <c r="B126" t="str">
        <v>MILDRED YULIANA SAAVEDRA AGUILAR</v>
      </c>
      <c r="C126" t="str">
        <v>NO</v>
      </c>
      <c r="D126">
        <v>743</v>
      </c>
      <c r="E126">
        <v>1065</v>
      </c>
      <c r="F126">
        <v>0</v>
      </c>
      <c r="G126">
        <v>0</v>
      </c>
      <c r="H126">
        <v>297</v>
      </c>
      <c r="I126">
        <v>2105</v>
      </c>
      <c r="J126">
        <v>797</v>
      </c>
      <c r="K126">
        <v>0</v>
      </c>
      <c r="L126">
        <f>I126-J126</f>
        <v>1308</v>
      </c>
      <c r="M126">
        <v>45046</v>
      </c>
      <c r="N126" t="str">
        <f>VLOOKUP(B126,Hoja1!$B$1:$C$25,2,0)</f>
        <v>LEONARDO PINZON URIBE</v>
      </c>
      <c r="O126" t="str">
        <f>VLOOKUP(A126,#REF!,22,0)</f>
        <v>#REF!</v>
      </c>
    </row>
    <row r="127">
      <c r="A127">
        <v>339</v>
      </c>
      <c r="B127" t="str">
        <v>NAYIBE XIMENA PICO ESPITA</v>
      </c>
      <c r="J127">
        <v>0</v>
      </c>
      <c r="N127" t="str">
        <f>VLOOKUP(B127,Hoja1!$B$1:$C$25,2,0)</f>
        <v>LUISA FERNANDA MEJIA CORREA</v>
      </c>
      <c r="O127" t="str">
        <f>VLOOKUP(A127,#REF!,22,0)</f>
        <v>#REF!</v>
      </c>
    </row>
    <row r="128">
      <c r="A128">
        <v>340</v>
      </c>
      <c r="B128" t="str">
        <v>NAYIBE XIMENA PICO ESPITA</v>
      </c>
      <c r="J128">
        <v>0</v>
      </c>
      <c r="N128" t="str">
        <f>VLOOKUP(B128,Hoja1!$B$1:$C$25,2,0)</f>
        <v>LUISA FERNANDA MEJIA CORREA</v>
      </c>
      <c r="O128" t="str">
        <f>VLOOKUP(A128,#REF!,22,0)</f>
        <v>#REF!</v>
      </c>
    </row>
    <row r="129">
      <c r="A129">
        <v>348</v>
      </c>
      <c r="B129" t="str">
        <v>MILDRED YULIANA SAAVEDRA AGUILAR</v>
      </c>
      <c r="J129">
        <v>0</v>
      </c>
      <c r="N129" t="str">
        <f>VLOOKUP(B129,Hoja1!$B$1:$C$25,2,0)</f>
        <v>LEONARDO PINZON URIBE</v>
      </c>
      <c r="O129" t="str">
        <f>VLOOKUP(A129,#REF!,22,0)</f>
        <v>#REF!</v>
      </c>
    </row>
    <row r="130">
      <c r="A130">
        <v>120</v>
      </c>
      <c r="B130" t="str">
        <v>FERNANDO ARENAS GUTIERREZ</v>
      </c>
      <c r="C130" t="str">
        <v>NO</v>
      </c>
      <c r="D130">
        <v>36</v>
      </c>
      <c r="E130">
        <v>5</v>
      </c>
      <c r="F130">
        <v>0</v>
      </c>
      <c r="G130">
        <v>0</v>
      </c>
      <c r="H130">
        <v>0</v>
      </c>
      <c r="I130">
        <v>41</v>
      </c>
      <c r="J130">
        <v>25</v>
      </c>
      <c r="K130">
        <v>1</v>
      </c>
      <c r="L130">
        <f>I130-J130</f>
        <v>16</v>
      </c>
      <c r="M130">
        <v>44985</v>
      </c>
      <c r="N130" t="str">
        <f>VLOOKUP(B130,Hoja1!$B$1:$C$25,2,0)</f>
        <v>LEONARDO PINZON URIBE</v>
      </c>
      <c r="O130" t="str">
        <f>VLOOKUP(A130,#REF!,22,0)</f>
        <v>#REF!</v>
      </c>
    </row>
    <row r="131">
      <c r="A131">
        <v>121</v>
      </c>
      <c r="B131" t="str">
        <v>FERNANDO ARENAS GUTIERREZ</v>
      </c>
      <c r="C131" t="str">
        <v>NO</v>
      </c>
      <c r="D131">
        <v>186</v>
      </c>
      <c r="E131">
        <v>82</v>
      </c>
      <c r="F131">
        <v>0</v>
      </c>
      <c r="G131">
        <v>0</v>
      </c>
      <c r="H131">
        <v>0</v>
      </c>
      <c r="I131">
        <v>268</v>
      </c>
      <c r="J131">
        <v>192</v>
      </c>
      <c r="K131">
        <v>2</v>
      </c>
      <c r="L131">
        <f>I131-J131</f>
        <v>76</v>
      </c>
      <c r="M131">
        <v>44985</v>
      </c>
      <c r="N131" t="str">
        <f>VLOOKUP(B131,Hoja1!$B$1:$C$25,2,0)</f>
        <v>LEONARDO PINZON URIBE</v>
      </c>
      <c r="O131" t="str">
        <f>VLOOKUP(A131,#REF!,22,0)</f>
        <v>#REF!</v>
      </c>
    </row>
    <row r="132">
      <c r="A132">
        <v>124</v>
      </c>
      <c r="B132" t="str">
        <v>FERNANDO ARENAS GUTIERREZ</v>
      </c>
      <c r="C132" t="str">
        <v>NO</v>
      </c>
      <c r="D132">
        <v>60</v>
      </c>
      <c r="E132">
        <v>60</v>
      </c>
      <c r="F132">
        <v>0</v>
      </c>
      <c r="G132">
        <v>0</v>
      </c>
      <c r="H132">
        <v>0</v>
      </c>
      <c r="I132">
        <v>120</v>
      </c>
      <c r="J132">
        <v>0</v>
      </c>
      <c r="K132">
        <v>1</v>
      </c>
      <c r="L132">
        <f>I132-J132</f>
        <v>120</v>
      </c>
      <c r="M132">
        <v>44985</v>
      </c>
      <c r="N132" t="str">
        <f>VLOOKUP(B132,Hoja1!$B$1:$C$25,2,0)</f>
        <v>LEONARDO PINZON URIBE</v>
      </c>
      <c r="O132" t="str">
        <f>VLOOKUP(A132,#REF!,22,0)</f>
        <v>#REF!</v>
      </c>
    </row>
    <row r="133">
      <c r="A133">
        <v>160</v>
      </c>
      <c r="B133" t="str">
        <v>FERNANDO ARENAS GUTIERREZ</v>
      </c>
      <c r="C133" t="str">
        <v>NO</v>
      </c>
      <c r="D133">
        <v>286</v>
      </c>
      <c r="E133">
        <v>286</v>
      </c>
      <c r="F133">
        <v>0</v>
      </c>
      <c r="G133">
        <v>0</v>
      </c>
      <c r="H133">
        <v>0</v>
      </c>
      <c r="I133">
        <v>572</v>
      </c>
      <c r="J133">
        <v>238</v>
      </c>
      <c r="K133">
        <v>4</v>
      </c>
      <c r="L133">
        <f>I133-J133</f>
        <v>334</v>
      </c>
      <c r="M133">
        <v>45000</v>
      </c>
      <c r="N133" t="str">
        <f>VLOOKUP(B133,Hoja1!$B$1:$C$25,2,0)</f>
        <v>LEONARDO PINZON URIBE</v>
      </c>
      <c r="O133" t="str">
        <f>VLOOKUP(A133,#REF!,22,0)</f>
        <v>#REF!</v>
      </c>
    </row>
    <row r="134">
      <c r="A134">
        <v>161</v>
      </c>
      <c r="B134" t="str">
        <v>FERNANDO ARENAS GUTIERREZ</v>
      </c>
      <c r="C134" t="str">
        <v>NO</v>
      </c>
      <c r="D134">
        <v>139</v>
      </c>
      <c r="E134">
        <v>77</v>
      </c>
      <c r="F134">
        <v>0</v>
      </c>
      <c r="G134">
        <v>0</v>
      </c>
      <c r="H134">
        <v>0</v>
      </c>
      <c r="I134">
        <v>216</v>
      </c>
      <c r="J134">
        <v>22</v>
      </c>
      <c r="K134">
        <v>1</v>
      </c>
      <c r="L134">
        <f>I134-J134</f>
        <v>194</v>
      </c>
      <c r="M134">
        <v>45000</v>
      </c>
      <c r="N134" t="str">
        <f>VLOOKUP(B134,Hoja1!$B$1:$C$25,2,0)</f>
        <v>LEONARDO PINZON URIBE</v>
      </c>
      <c r="O134" t="str">
        <f>VLOOKUP(A134,#REF!,22,0)</f>
        <v>#REF!</v>
      </c>
    </row>
    <row r="135">
      <c r="A135">
        <v>162</v>
      </c>
      <c r="B135" t="str">
        <v>FERNANDO ARENAS GUTIERREZ</v>
      </c>
      <c r="C135" t="str">
        <v>NO</v>
      </c>
      <c r="D135">
        <v>256</v>
      </c>
      <c r="E135">
        <v>97</v>
      </c>
      <c r="F135">
        <v>0</v>
      </c>
      <c r="G135">
        <v>0</v>
      </c>
      <c r="H135">
        <v>0</v>
      </c>
      <c r="I135">
        <v>353</v>
      </c>
      <c r="J135">
        <v>192</v>
      </c>
      <c r="K135">
        <v>4</v>
      </c>
      <c r="L135">
        <f>I135-J135</f>
        <v>161</v>
      </c>
      <c r="M135">
        <v>44985</v>
      </c>
      <c r="N135" t="str">
        <f>VLOOKUP(B135,Hoja1!$B$1:$C$25,2,0)</f>
        <v>LEONARDO PINZON URIBE</v>
      </c>
      <c r="O135" t="str">
        <f>VLOOKUP(A135,#REF!,22,0)</f>
        <v>#REF!</v>
      </c>
    </row>
    <row r="136">
      <c r="A136">
        <v>163</v>
      </c>
      <c r="B136" t="str">
        <v>FERNANDO ARENAS GUTIERREZ</v>
      </c>
      <c r="C136" t="str">
        <v>NO</v>
      </c>
      <c r="D136">
        <v>250</v>
      </c>
      <c r="E136">
        <v>98</v>
      </c>
      <c r="F136">
        <v>0</v>
      </c>
      <c r="G136">
        <v>0</v>
      </c>
      <c r="H136">
        <v>0</v>
      </c>
      <c r="I136">
        <v>348</v>
      </c>
      <c r="J136">
        <v>130</v>
      </c>
      <c r="K136">
        <v>2</v>
      </c>
      <c r="L136">
        <f>I136-J136</f>
        <v>218</v>
      </c>
      <c r="M136">
        <v>45000</v>
      </c>
      <c r="N136" t="str">
        <f>VLOOKUP(B136,Hoja1!$B$1:$C$25,2,0)</f>
        <v>LEONARDO PINZON URIBE</v>
      </c>
      <c r="O136" t="str">
        <f>VLOOKUP(A136,#REF!,22,0)</f>
        <v>#REF!</v>
      </c>
    </row>
    <row r="137">
      <c r="A137">
        <v>164</v>
      </c>
      <c r="B137" t="str">
        <v>FERNANDO ARENAS GUTIERREZ</v>
      </c>
      <c r="C137" t="str">
        <v>NO</v>
      </c>
      <c r="D137">
        <v>297</v>
      </c>
      <c r="E137">
        <v>175</v>
      </c>
      <c r="F137">
        <v>0</v>
      </c>
      <c r="G137">
        <v>0</v>
      </c>
      <c r="H137">
        <v>0</v>
      </c>
      <c r="I137">
        <v>472</v>
      </c>
      <c r="J137">
        <v>0</v>
      </c>
      <c r="K137">
        <v>2</v>
      </c>
      <c r="L137">
        <f>I137-J137</f>
        <v>472</v>
      </c>
      <c r="M137">
        <v>45000</v>
      </c>
      <c r="N137" t="str">
        <f>VLOOKUP(B137,Hoja1!$B$1:$C$25,2,0)</f>
        <v>LEONARDO PINZON URIBE</v>
      </c>
      <c r="O137" t="str">
        <f>VLOOKUP(A137,#REF!,22,0)</f>
        <v>#REF!</v>
      </c>
    </row>
    <row r="138">
      <c r="A138">
        <v>165</v>
      </c>
      <c r="B138" t="str">
        <v>FERNANDO ARENAS GUTIERREZ</v>
      </c>
      <c r="C138" t="str">
        <v>NO</v>
      </c>
      <c r="D138">
        <v>146</v>
      </c>
      <c r="E138">
        <v>60</v>
      </c>
      <c r="F138">
        <v>0</v>
      </c>
      <c r="G138">
        <v>0</v>
      </c>
      <c r="H138">
        <v>0</v>
      </c>
      <c r="I138">
        <v>206</v>
      </c>
      <c r="J138">
        <v>0</v>
      </c>
      <c r="K138">
        <v>0</v>
      </c>
      <c r="L138">
        <f>I138-J138</f>
        <v>206</v>
      </c>
      <c r="M138">
        <v>45046</v>
      </c>
      <c r="N138" t="str">
        <f>VLOOKUP(B138,Hoja1!$B$1:$C$25,2,0)</f>
        <v>LEONARDO PINZON URIBE</v>
      </c>
      <c r="O138" t="str">
        <f>VLOOKUP(A138,#REF!,22,0)</f>
        <v>#REF!</v>
      </c>
    </row>
    <row r="139">
      <c r="A139">
        <v>166</v>
      </c>
      <c r="B139" t="str">
        <v>FERNANDO ARENAS GUTIERREZ</v>
      </c>
      <c r="C139" t="str">
        <v>NO</v>
      </c>
      <c r="D139">
        <v>80</v>
      </c>
      <c r="E139">
        <v>20</v>
      </c>
      <c r="F139">
        <v>0</v>
      </c>
      <c r="G139">
        <v>0</v>
      </c>
      <c r="H139">
        <v>0</v>
      </c>
      <c r="I139">
        <v>100</v>
      </c>
      <c r="J139">
        <v>58</v>
      </c>
      <c r="K139">
        <v>1</v>
      </c>
      <c r="L139">
        <f>I139-J139</f>
        <v>42</v>
      </c>
      <c r="M139">
        <v>44985</v>
      </c>
      <c r="N139" t="str">
        <f>VLOOKUP(B139,Hoja1!$B$1:$C$25,2,0)</f>
        <v>LEONARDO PINZON URIBE</v>
      </c>
      <c r="O139" t="str">
        <f>VLOOKUP(A139,#REF!,22,0)</f>
        <v>#REF!</v>
      </c>
    </row>
    <row r="140">
      <c r="A140">
        <v>188</v>
      </c>
      <c r="B140" t="str">
        <v>FERNANDO ARENAS GUTIERREZ</v>
      </c>
      <c r="C140" t="str">
        <v>NO</v>
      </c>
      <c r="D140">
        <v>100</v>
      </c>
      <c r="E140">
        <v>40</v>
      </c>
      <c r="F140">
        <v>0</v>
      </c>
      <c r="G140">
        <v>0</v>
      </c>
      <c r="H140">
        <v>0</v>
      </c>
      <c r="I140">
        <v>140</v>
      </c>
      <c r="J140">
        <v>0</v>
      </c>
      <c r="K140">
        <v>1</v>
      </c>
      <c r="L140">
        <f>I140-J140</f>
        <v>140</v>
      </c>
      <c r="M140">
        <v>45000</v>
      </c>
      <c r="N140" t="str">
        <f>VLOOKUP(B140,Hoja1!$B$1:$C$25,2,0)</f>
        <v>LEONARDO PINZON URIBE</v>
      </c>
      <c r="O140" t="str">
        <f>VLOOKUP(A140,#REF!,22,0)</f>
        <v>#REF!</v>
      </c>
    </row>
    <row r="141">
      <c r="A141">
        <v>223</v>
      </c>
      <c r="B141" t="str">
        <v>FERNANDO ARENAS GUTIERREZ</v>
      </c>
      <c r="C141" t="str">
        <v>SI</v>
      </c>
      <c r="D141">
        <v>54</v>
      </c>
      <c r="E141">
        <v>0</v>
      </c>
      <c r="F141">
        <v>0</v>
      </c>
      <c r="G141">
        <v>0</v>
      </c>
      <c r="H141">
        <v>0</v>
      </c>
      <c r="I141">
        <v>54</v>
      </c>
      <c r="J141">
        <v>0</v>
      </c>
      <c r="K141">
        <v>0</v>
      </c>
      <c r="L141">
        <f>I141-J141</f>
        <v>54</v>
      </c>
      <c r="M141">
        <v>44985</v>
      </c>
      <c r="N141" t="str">
        <f>VLOOKUP(B141,Hoja1!$B$1:$C$25,2,0)</f>
        <v>LEONARDO PINZON URIBE</v>
      </c>
      <c r="O141" t="str">
        <f>VLOOKUP(A141,#REF!,22,0)</f>
        <v>#REF!</v>
      </c>
    </row>
    <row r="142">
      <c r="A142">
        <v>225</v>
      </c>
      <c r="B142" t="str">
        <v>FERNANDO ARENAS GUTIERREZ</v>
      </c>
      <c r="C142" t="str">
        <v>NO</v>
      </c>
      <c r="D142">
        <v>67</v>
      </c>
      <c r="E142">
        <v>74</v>
      </c>
      <c r="F142">
        <v>0</v>
      </c>
      <c r="G142">
        <v>0</v>
      </c>
      <c r="H142">
        <v>0</v>
      </c>
      <c r="I142">
        <v>141</v>
      </c>
      <c r="J142">
        <v>0</v>
      </c>
      <c r="K142">
        <v>1</v>
      </c>
      <c r="L142">
        <f>I142-J142</f>
        <v>141</v>
      </c>
      <c r="M142">
        <v>44985</v>
      </c>
      <c r="N142" t="str">
        <f>VLOOKUP(B142,Hoja1!$B$1:$C$25,2,0)</f>
        <v>LEONARDO PINZON URIBE</v>
      </c>
      <c r="O142" t="str">
        <f>VLOOKUP(A142,#REF!,22,0)</f>
        <v>#REF!</v>
      </c>
    </row>
    <row r="143">
      <c r="A143">
        <v>229</v>
      </c>
      <c r="B143" t="str">
        <v>FERNANDO ARENAS GUTIERREZ</v>
      </c>
      <c r="C143" t="str">
        <v>NO</v>
      </c>
      <c r="D143">
        <v>81</v>
      </c>
      <c r="E143">
        <v>45</v>
      </c>
      <c r="F143">
        <v>0</v>
      </c>
      <c r="G143">
        <v>0</v>
      </c>
      <c r="H143">
        <v>0</v>
      </c>
      <c r="I143">
        <v>126</v>
      </c>
      <c r="J143">
        <v>104</v>
      </c>
      <c r="K143">
        <v>1</v>
      </c>
      <c r="L143">
        <f>I143-J143</f>
        <v>22</v>
      </c>
      <c r="M143">
        <v>44985</v>
      </c>
      <c r="N143" t="str">
        <f>VLOOKUP(B143,Hoja1!$B$1:$C$25,2,0)</f>
        <v>LEONARDO PINZON URIBE</v>
      </c>
      <c r="O143" t="str">
        <f>VLOOKUP(A143,#REF!,22,0)</f>
        <v>#REF!</v>
      </c>
    </row>
    <row r="144">
      <c r="A144">
        <v>234</v>
      </c>
      <c r="B144" t="str">
        <v>FERNANDO ARENAS GUTIERREZ</v>
      </c>
      <c r="C144" t="str">
        <v>NO EXISTE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f>I144-J144</f>
        <v>0</v>
      </c>
      <c r="N144" t="str">
        <f>VLOOKUP(B144,Hoja1!$B$1:$C$25,2,0)</f>
        <v>LEONARDO PINZON URIBE</v>
      </c>
      <c r="O144" t="str">
        <f>VLOOKUP(A144,#REF!,22,0)</f>
        <v>#REF!</v>
      </c>
    </row>
    <row r="145">
      <c r="A145">
        <v>291</v>
      </c>
      <c r="B145" t="str">
        <v>FERNANDO ARENAS GUTIERREZ</v>
      </c>
      <c r="C145" t="str">
        <v>SI</v>
      </c>
      <c r="D145">
        <v>40</v>
      </c>
      <c r="E145">
        <v>27</v>
      </c>
      <c r="F145">
        <v>0</v>
      </c>
      <c r="G145">
        <v>0</v>
      </c>
      <c r="H145">
        <v>0</v>
      </c>
      <c r="I145">
        <v>67</v>
      </c>
      <c r="J145">
        <v>0</v>
      </c>
      <c r="K145">
        <v>0</v>
      </c>
      <c r="L145">
        <f>I145-J145</f>
        <v>67</v>
      </c>
      <c r="M145">
        <v>44985</v>
      </c>
      <c r="N145" t="str">
        <f>VLOOKUP(B145,Hoja1!$B$1:$C$25,2,0)</f>
        <v>LEONARDO PINZON URIBE</v>
      </c>
      <c r="O145" t="str">
        <f>VLOOKUP(A145,#REF!,22,0)</f>
        <v>#REF!</v>
      </c>
    </row>
    <row r="146">
      <c r="A146">
        <v>315</v>
      </c>
      <c r="B146" t="str">
        <v>FERNANDO ARENAS GUTIERREZ</v>
      </c>
      <c r="C146" t="str">
        <v>NO</v>
      </c>
      <c r="D146" t="e">
        <v>#N/A</v>
      </c>
      <c r="E146" t="e">
        <v>#N/A</v>
      </c>
      <c r="F146">
        <v>0</v>
      </c>
      <c r="G146">
        <v>0</v>
      </c>
      <c r="H146">
        <v>0</v>
      </c>
      <c r="I146" t="e">
        <v>#N/A</v>
      </c>
      <c r="J146">
        <v>0</v>
      </c>
      <c r="K146">
        <v>2</v>
      </c>
      <c r="L146" t="str">
        <v>N/A</v>
      </c>
      <c r="N146" t="str">
        <f>VLOOKUP(B146,Hoja1!$B$1:$C$25,2,0)</f>
        <v>LEONARDO PINZON URIBE</v>
      </c>
      <c r="O146" t="str">
        <f>VLOOKUP(A146,#REF!,22,0)</f>
        <v>#REF!</v>
      </c>
    </row>
    <row r="147">
      <c r="A147">
        <v>316</v>
      </c>
      <c r="B147" t="str">
        <v>FERNANDO ARENAS GUTIERREZ</v>
      </c>
      <c r="C147" t="str">
        <v>NO</v>
      </c>
      <c r="D147" t="e">
        <v>#N/A</v>
      </c>
      <c r="E147" t="e">
        <v>#N/A</v>
      </c>
      <c r="F147">
        <v>0</v>
      </c>
      <c r="G147">
        <v>0</v>
      </c>
      <c r="H147">
        <v>0</v>
      </c>
      <c r="I147" t="e">
        <v>#N/A</v>
      </c>
      <c r="J147">
        <v>19</v>
      </c>
      <c r="K147">
        <v>0</v>
      </c>
      <c r="L147" t="str">
        <v>N/A</v>
      </c>
      <c r="N147" t="str">
        <f>VLOOKUP(B147,Hoja1!$B$1:$C$25,2,0)</f>
        <v>LEONARDO PINZON URIBE</v>
      </c>
      <c r="O147" t="str">
        <f>VLOOKUP(A147,#REF!,22,0)</f>
        <v>#REF!</v>
      </c>
    </row>
    <row r="148">
      <c r="A148" t="str">
        <v>166-1</v>
      </c>
      <c r="B148" t="str">
        <v>FERNANDO ARENAS GUTIERREZ</v>
      </c>
      <c r="C148" t="str">
        <v>NO</v>
      </c>
      <c r="D148" t="e">
        <v>#N/A</v>
      </c>
      <c r="E148" t="e">
        <v>#N/A</v>
      </c>
      <c r="F148">
        <v>0</v>
      </c>
      <c r="G148">
        <v>0</v>
      </c>
      <c r="H148">
        <v>0</v>
      </c>
      <c r="I148" t="e">
        <v>#N/A</v>
      </c>
      <c r="J148">
        <v>0</v>
      </c>
      <c r="K148">
        <v>0</v>
      </c>
      <c r="L148" t="str">
        <v>N/A</v>
      </c>
      <c r="N148" t="str">
        <f>VLOOKUP(B148,Hoja1!$B$1:$C$25,2,0)</f>
        <v>LEONARDO PINZON URIBE</v>
      </c>
      <c r="O148" t="str">
        <f>VLOOKUP(A148,#REF!,22,0)</f>
        <v>#REF!</v>
      </c>
    </row>
    <row r="149">
      <c r="A149" t="str">
        <v>166-2</v>
      </c>
      <c r="B149" t="str">
        <v>FERNANDO ARENAS GUTIERREZ</v>
      </c>
      <c r="C149" t="str">
        <v>NO</v>
      </c>
      <c r="D149" t="e">
        <v>#N/A</v>
      </c>
      <c r="E149" t="e">
        <v>#N/A</v>
      </c>
      <c r="F149">
        <v>0</v>
      </c>
      <c r="G149">
        <v>0</v>
      </c>
      <c r="H149">
        <v>0</v>
      </c>
      <c r="I149" t="e">
        <v>#N/A</v>
      </c>
      <c r="J149">
        <v>0</v>
      </c>
      <c r="K149">
        <v>0</v>
      </c>
      <c r="L149" t="str">
        <v>N/A</v>
      </c>
      <c r="N149" t="str">
        <f>VLOOKUP(B149,Hoja1!$B$1:$C$25,2,0)</f>
        <v>LEONARDO PINZON URIBE</v>
      </c>
      <c r="O149" t="str">
        <f>VLOOKUP(A149,#REF!,22,0)</f>
        <v>#REF!</v>
      </c>
    </row>
    <row r="150">
      <c r="A150" t="str">
        <v>166-3</v>
      </c>
      <c r="B150" t="str">
        <v>FERNANDO ARENAS GUTIERREZ</v>
      </c>
      <c r="C150" t="str">
        <v>NO</v>
      </c>
      <c r="D150" t="e">
        <v>#N/A</v>
      </c>
      <c r="E150" t="e">
        <v>#N/A</v>
      </c>
      <c r="F150">
        <v>0</v>
      </c>
      <c r="G150">
        <v>0</v>
      </c>
      <c r="H150">
        <v>0</v>
      </c>
      <c r="I150" t="e">
        <v>#N/A</v>
      </c>
      <c r="J150">
        <v>0</v>
      </c>
      <c r="K150">
        <v>0</v>
      </c>
      <c r="L150" t="str">
        <v>N/A</v>
      </c>
      <c r="N150" t="str">
        <f>VLOOKUP(B150,Hoja1!$B$1:$C$25,2,0)</f>
        <v>LEONARDO PINZON URIBE</v>
      </c>
      <c r="O150" t="str">
        <f>VLOOKUP(A150,#REF!,22,0)</f>
        <v>#REF!</v>
      </c>
    </row>
    <row r="151">
      <c r="A151">
        <v>268</v>
      </c>
      <c r="B151" t="str">
        <v>FERNANDO ARENAS GUTIERREZ</v>
      </c>
      <c r="J151">
        <v>0</v>
      </c>
      <c r="N151" t="str">
        <f>VLOOKUP(B151,Hoja1!$B$1:$C$25,2,0)</f>
        <v>LEONARDO PINZON URIBE</v>
      </c>
      <c r="O151" t="str">
        <f>VLOOKUP(A151,#REF!,22,0)</f>
        <v>#REF!</v>
      </c>
    </row>
    <row r="152">
      <c r="A152">
        <v>63</v>
      </c>
      <c r="B152" t="str">
        <v>FRANKLIEN SERGIO TRUJILLO ESPITIA</v>
      </c>
      <c r="D152">
        <v>56</v>
      </c>
      <c r="E152">
        <v>12</v>
      </c>
      <c r="F152">
        <v>0</v>
      </c>
      <c r="G152">
        <v>0</v>
      </c>
      <c r="H152">
        <v>0</v>
      </c>
      <c r="I152">
        <v>68</v>
      </c>
      <c r="J152">
        <v>0</v>
      </c>
      <c r="K152">
        <v>1</v>
      </c>
      <c r="L152">
        <f>I152-J152</f>
        <v>68</v>
      </c>
      <c r="M152">
        <v>44985</v>
      </c>
      <c r="N152" t="str">
        <f>VLOOKUP(B152,Hoja1!$B$1:$C$25,2,0)</f>
        <v>EDGAR JAVIER CASTAÑEDA GIL</v>
      </c>
      <c r="O152" t="str">
        <f>VLOOKUP(A152,#REF!,22,0)</f>
        <v>#REF!</v>
      </c>
    </row>
    <row r="153">
      <c r="A153">
        <v>64</v>
      </c>
      <c r="B153" t="str">
        <v>FRANKLIEN SERGIO TRUJILLO ESPITIA</v>
      </c>
      <c r="D153">
        <v>61</v>
      </c>
      <c r="E153">
        <v>2</v>
      </c>
      <c r="F153">
        <v>0</v>
      </c>
      <c r="G153">
        <v>0</v>
      </c>
      <c r="H153">
        <v>0</v>
      </c>
      <c r="I153">
        <v>63</v>
      </c>
      <c r="J153">
        <v>22</v>
      </c>
      <c r="K153">
        <v>1</v>
      </c>
      <c r="L153">
        <f>I153-J153</f>
        <v>41</v>
      </c>
      <c r="M153">
        <v>44985</v>
      </c>
      <c r="N153" t="str">
        <f>VLOOKUP(B153,Hoja1!$B$1:$C$25,2,0)</f>
        <v>EDGAR JAVIER CASTAÑEDA GIL</v>
      </c>
      <c r="O153" t="str">
        <f>VLOOKUP(A153,#REF!,22,0)</f>
        <v>#REF!</v>
      </c>
    </row>
    <row r="154">
      <c r="A154">
        <v>171</v>
      </c>
      <c r="B154" t="str">
        <v>FRANKLIEN SERGIO TRUJILLO ESPITIA</v>
      </c>
      <c r="D154">
        <v>11</v>
      </c>
      <c r="E154">
        <v>2</v>
      </c>
      <c r="F154">
        <v>0</v>
      </c>
      <c r="G154">
        <v>0</v>
      </c>
      <c r="H154">
        <v>0</v>
      </c>
      <c r="I154">
        <v>13</v>
      </c>
      <c r="J154">
        <v>0</v>
      </c>
      <c r="K154">
        <v>2</v>
      </c>
      <c r="L154">
        <f>I154-J154</f>
        <v>13</v>
      </c>
      <c r="M154">
        <v>44985</v>
      </c>
      <c r="N154" t="str">
        <f>VLOOKUP(B154,Hoja1!$B$1:$C$25,2,0)</f>
        <v>EDGAR JAVIER CASTAÑEDA GIL</v>
      </c>
      <c r="O154" t="str">
        <f>VLOOKUP(A154,#REF!,22,0)</f>
        <v>#REF!</v>
      </c>
    </row>
    <row r="155">
      <c r="A155">
        <v>172</v>
      </c>
      <c r="B155" t="str">
        <v>FRANKLIEN SERGIO TRUJILLO ESPITIA</v>
      </c>
      <c r="D155">
        <v>175</v>
      </c>
      <c r="E155">
        <v>60</v>
      </c>
      <c r="F155">
        <v>0</v>
      </c>
      <c r="G155">
        <v>0</v>
      </c>
      <c r="H155">
        <v>0</v>
      </c>
      <c r="I155">
        <v>235</v>
      </c>
      <c r="J155">
        <v>241</v>
      </c>
      <c r="K155">
        <v>1</v>
      </c>
      <c r="L155">
        <f>I155-J155</f>
        <v>-6</v>
      </c>
      <c r="N155" t="str">
        <f>VLOOKUP(B155,Hoja1!$B$1:$C$25,2,0)</f>
        <v>EDGAR JAVIER CASTAÑEDA GIL</v>
      </c>
      <c r="O155" t="str">
        <f>VLOOKUP(A155,#REF!,22,0)</f>
        <v>#REF!</v>
      </c>
    </row>
    <row r="156">
      <c r="A156">
        <v>175</v>
      </c>
      <c r="B156" t="str">
        <v>FRANKLIEN SERGIO TRUJILLO ESPITIA</v>
      </c>
      <c r="D156">
        <v>112</v>
      </c>
      <c r="E156">
        <v>92</v>
      </c>
      <c r="F156">
        <v>0</v>
      </c>
      <c r="G156">
        <v>0</v>
      </c>
      <c r="H156">
        <v>0</v>
      </c>
      <c r="I156">
        <v>204</v>
      </c>
      <c r="J156">
        <v>0</v>
      </c>
      <c r="K156">
        <v>2</v>
      </c>
      <c r="L156">
        <f>I156-J156</f>
        <v>204</v>
      </c>
      <c r="M156">
        <v>44985</v>
      </c>
      <c r="N156" t="str">
        <f>VLOOKUP(B156,Hoja1!$B$1:$C$25,2,0)</f>
        <v>EDGAR JAVIER CASTAÑEDA GIL</v>
      </c>
      <c r="O156" t="str">
        <f>VLOOKUP(A156,#REF!,22,0)</f>
        <v>#REF!</v>
      </c>
    </row>
    <row r="157">
      <c r="A157">
        <v>176</v>
      </c>
      <c r="B157" t="str">
        <v>FRANKLIEN SERGIO TRUJILLO ESPITIA</v>
      </c>
      <c r="D157">
        <v>273</v>
      </c>
      <c r="E157">
        <v>150</v>
      </c>
      <c r="F157">
        <v>273</v>
      </c>
      <c r="G157">
        <v>0</v>
      </c>
      <c r="H157">
        <v>150</v>
      </c>
      <c r="I157">
        <v>846</v>
      </c>
      <c r="J157">
        <v>0</v>
      </c>
      <c r="K157">
        <v>1</v>
      </c>
      <c r="L157">
        <f>I157-J157</f>
        <v>846</v>
      </c>
      <c r="M157">
        <v>45016</v>
      </c>
      <c r="N157" t="str">
        <f>VLOOKUP(B157,Hoja1!$B$1:$C$25,2,0)</f>
        <v>EDGAR JAVIER CASTAÑEDA GIL</v>
      </c>
      <c r="O157" t="str">
        <f>VLOOKUP(A157,#REF!,22,0)</f>
        <v>#REF!</v>
      </c>
    </row>
    <row r="158">
      <c r="A158">
        <v>177</v>
      </c>
      <c r="B158" t="str">
        <v>FRANKLIEN SERGIO TRUJILLO ESPITIA</v>
      </c>
      <c r="D158">
        <v>2</v>
      </c>
      <c r="E158">
        <v>5</v>
      </c>
      <c r="F158">
        <v>0</v>
      </c>
      <c r="G158">
        <v>0</v>
      </c>
      <c r="H158">
        <v>0</v>
      </c>
      <c r="I158">
        <v>7</v>
      </c>
      <c r="J158">
        <v>0</v>
      </c>
      <c r="K158">
        <v>1</v>
      </c>
      <c r="L158">
        <f>I158-J158</f>
        <v>7</v>
      </c>
      <c r="M158">
        <v>44985</v>
      </c>
      <c r="N158" t="str">
        <f>VLOOKUP(B158,Hoja1!$B$1:$C$25,2,0)</f>
        <v>EDGAR JAVIER CASTAÑEDA GIL</v>
      </c>
      <c r="O158" t="str">
        <f>VLOOKUP(A158,#REF!,22,0)</f>
        <v>#REF!</v>
      </c>
    </row>
    <row r="159">
      <c r="A159">
        <v>178</v>
      </c>
      <c r="B159" t="str">
        <v>FRANKLIEN SERGIO TRUJILLO ESPITIA</v>
      </c>
      <c r="D159">
        <v>79</v>
      </c>
      <c r="E159">
        <v>30</v>
      </c>
      <c r="F159">
        <v>0</v>
      </c>
      <c r="G159">
        <v>0</v>
      </c>
      <c r="H159">
        <v>0</v>
      </c>
      <c r="I159">
        <v>109</v>
      </c>
      <c r="J159">
        <v>0</v>
      </c>
      <c r="K159">
        <v>1</v>
      </c>
      <c r="L159">
        <f>I159-J159</f>
        <v>109</v>
      </c>
      <c r="M159">
        <v>44985</v>
      </c>
      <c r="N159" t="str">
        <f>VLOOKUP(B159,Hoja1!$B$1:$C$25,2,0)</f>
        <v>EDGAR JAVIER CASTAÑEDA GIL</v>
      </c>
      <c r="O159" t="str">
        <f>VLOOKUP(A159,#REF!,22,0)</f>
        <v>#REF!</v>
      </c>
    </row>
    <row r="160">
      <c r="A160">
        <v>195</v>
      </c>
      <c r="B160" t="str">
        <v>FRANKLIEN SERGIO TRUJILLO ESPITIA</v>
      </c>
      <c r="D160">
        <v>89</v>
      </c>
      <c r="E160">
        <v>14</v>
      </c>
      <c r="F160">
        <v>0</v>
      </c>
      <c r="G160">
        <v>0</v>
      </c>
      <c r="H160">
        <v>0</v>
      </c>
      <c r="I160">
        <v>103</v>
      </c>
      <c r="J160">
        <v>0</v>
      </c>
      <c r="K160">
        <v>3</v>
      </c>
      <c r="L160">
        <f>I160-J160</f>
        <v>103</v>
      </c>
      <c r="M160">
        <v>44985</v>
      </c>
      <c r="N160" t="str">
        <f>VLOOKUP(B160,Hoja1!$B$1:$C$25,2,0)</f>
        <v>EDGAR JAVIER CASTAÑEDA GIL</v>
      </c>
      <c r="O160" t="str">
        <f>VLOOKUP(A160,#REF!,22,0)</f>
        <v>#REF!</v>
      </c>
    </row>
    <row r="161">
      <c r="A161">
        <v>221</v>
      </c>
      <c r="B161" t="str">
        <v>FRANKLIEN SERGIO TRUJILLO ESPITIA</v>
      </c>
      <c r="C161" t="str">
        <v>SI</v>
      </c>
      <c r="D161">
        <v>66</v>
      </c>
      <c r="E161">
        <v>9</v>
      </c>
      <c r="F161">
        <v>0</v>
      </c>
      <c r="G161">
        <v>0</v>
      </c>
      <c r="H161">
        <v>0</v>
      </c>
      <c r="I161">
        <v>75</v>
      </c>
      <c r="J161">
        <v>0</v>
      </c>
      <c r="K161">
        <v>0</v>
      </c>
      <c r="L161">
        <f>I161-J161</f>
        <v>75</v>
      </c>
      <c r="M161">
        <v>44985</v>
      </c>
      <c r="N161" t="str">
        <f>VLOOKUP(B161,Hoja1!$B$1:$C$25,2,0)</f>
        <v>EDGAR JAVIER CASTAÑEDA GIL</v>
      </c>
      <c r="O161" t="str">
        <f>VLOOKUP(A161,#REF!,22,0)</f>
        <v>#REF!</v>
      </c>
    </row>
    <row r="162">
      <c r="A162">
        <v>222</v>
      </c>
      <c r="B162" t="str">
        <v>FRANKLIEN SERGIO TRUJILLO ESPITIA</v>
      </c>
      <c r="C162" t="str">
        <v>SI</v>
      </c>
      <c r="D162">
        <v>13</v>
      </c>
      <c r="E162">
        <v>38</v>
      </c>
      <c r="F162">
        <v>0</v>
      </c>
      <c r="G162">
        <v>0</v>
      </c>
      <c r="H162">
        <v>0</v>
      </c>
      <c r="I162">
        <v>51</v>
      </c>
      <c r="J162">
        <v>0</v>
      </c>
      <c r="K162">
        <v>0</v>
      </c>
      <c r="L162">
        <f>I162-J162</f>
        <v>51</v>
      </c>
      <c r="M162">
        <v>44985</v>
      </c>
      <c r="N162" t="str">
        <f>VLOOKUP(B162,Hoja1!$B$1:$C$25,2,0)</f>
        <v>EDGAR JAVIER CASTAÑEDA GIL</v>
      </c>
      <c r="O162" t="str">
        <f>VLOOKUP(A162,#REF!,22,0)</f>
        <v>#REF!</v>
      </c>
    </row>
    <row r="163">
      <c r="A163">
        <v>230</v>
      </c>
      <c r="B163" t="str">
        <v>FRANKLIEN SERGIO TRUJILLO ESPITIA</v>
      </c>
      <c r="D163">
        <v>50</v>
      </c>
      <c r="E163">
        <v>19</v>
      </c>
      <c r="F163">
        <v>0</v>
      </c>
      <c r="G163">
        <v>0</v>
      </c>
      <c r="H163">
        <v>0</v>
      </c>
      <c r="I163">
        <v>69</v>
      </c>
      <c r="J163">
        <v>0</v>
      </c>
      <c r="K163">
        <v>1</v>
      </c>
      <c r="L163">
        <f>I163-J163</f>
        <v>69</v>
      </c>
      <c r="M163">
        <v>44985</v>
      </c>
      <c r="N163" t="str">
        <f>VLOOKUP(B163,Hoja1!$B$1:$C$25,2,0)</f>
        <v>EDGAR JAVIER CASTAÑEDA GIL</v>
      </c>
      <c r="O163" t="str">
        <f>VLOOKUP(A163,#REF!,22,0)</f>
        <v>#REF!</v>
      </c>
    </row>
    <row r="164">
      <c r="A164">
        <v>245</v>
      </c>
      <c r="B164" t="str">
        <v>FRANKLIEN SERGIO TRUJILLO ESPITIA</v>
      </c>
      <c r="D164">
        <v>296</v>
      </c>
      <c r="E164">
        <v>78</v>
      </c>
      <c r="F164">
        <v>0</v>
      </c>
      <c r="G164">
        <v>0</v>
      </c>
      <c r="H164">
        <v>0</v>
      </c>
      <c r="I164">
        <v>374</v>
      </c>
      <c r="J164">
        <v>0</v>
      </c>
      <c r="K164">
        <v>2</v>
      </c>
      <c r="L164">
        <f>I164-J164</f>
        <v>374</v>
      </c>
      <c r="M164">
        <v>45016</v>
      </c>
      <c r="N164" t="str">
        <f>VLOOKUP(B164,Hoja1!$B$1:$C$25,2,0)</f>
        <v>EDGAR JAVIER CASTAÑEDA GIL</v>
      </c>
      <c r="O164" t="str">
        <f>VLOOKUP(A164,#REF!,22,0)</f>
        <v>#REF!</v>
      </c>
    </row>
    <row r="165">
      <c r="A165">
        <v>275</v>
      </c>
      <c r="B165" t="str">
        <v>FRANKLIEN SERGIO TRUJILLO ESPITIA</v>
      </c>
      <c r="D165">
        <v>283</v>
      </c>
      <c r="E165">
        <v>156</v>
      </c>
      <c r="F165">
        <v>0</v>
      </c>
      <c r="G165">
        <v>0</v>
      </c>
      <c r="H165">
        <v>0</v>
      </c>
      <c r="I165">
        <v>439</v>
      </c>
      <c r="J165">
        <v>0</v>
      </c>
      <c r="K165">
        <v>3</v>
      </c>
      <c r="L165">
        <f>I165-J165</f>
        <v>439</v>
      </c>
      <c r="M165">
        <v>45016</v>
      </c>
      <c r="N165" t="str">
        <f>VLOOKUP(B165,Hoja1!$B$1:$C$25,2,0)</f>
        <v>EDGAR JAVIER CASTAÑEDA GIL</v>
      </c>
      <c r="O165" t="str">
        <f>VLOOKUP(A165,#REF!,22,0)</f>
        <v>#REF!</v>
      </c>
    </row>
    <row r="166">
      <c r="A166">
        <v>280</v>
      </c>
      <c r="B166" t="str">
        <v>FRANKLIEN SERGIO TRUJILLO ESPITIA</v>
      </c>
      <c r="D166">
        <v>1</v>
      </c>
      <c r="E166">
        <v>15</v>
      </c>
      <c r="F166">
        <v>0</v>
      </c>
      <c r="G166">
        <v>0</v>
      </c>
      <c r="H166">
        <v>0</v>
      </c>
      <c r="I166">
        <v>16</v>
      </c>
      <c r="J166">
        <v>0</v>
      </c>
      <c r="K166">
        <v>1</v>
      </c>
      <c r="L166">
        <f>I166-J166</f>
        <v>16</v>
      </c>
      <c r="M166">
        <v>44985</v>
      </c>
      <c r="N166" t="str">
        <f>VLOOKUP(B166,Hoja1!$B$1:$C$25,2,0)</f>
        <v>EDGAR JAVIER CASTAÑEDA GIL</v>
      </c>
      <c r="O166" t="str">
        <f>VLOOKUP(A166,#REF!,22,0)</f>
        <v>#REF!</v>
      </c>
    </row>
    <row r="167">
      <c r="A167">
        <v>311</v>
      </c>
      <c r="B167" t="str">
        <v>FRANKLIEN SERGIO TRUJILLO ESPITIA</v>
      </c>
      <c r="C167" t="str">
        <v>SI</v>
      </c>
      <c r="D167" t="e">
        <v>#N/A</v>
      </c>
      <c r="E167" t="e">
        <v>#N/A</v>
      </c>
      <c r="F167">
        <v>0</v>
      </c>
      <c r="G167">
        <v>0</v>
      </c>
      <c r="H167">
        <v>0</v>
      </c>
      <c r="I167" t="e">
        <v>#N/A</v>
      </c>
      <c r="J167">
        <v>0</v>
      </c>
      <c r="K167">
        <v>0</v>
      </c>
      <c r="L167" t="str">
        <v>N/A</v>
      </c>
      <c r="N167" t="str">
        <f>VLOOKUP(B167,Hoja1!$B$1:$C$25,2,0)</f>
        <v>EDGAR JAVIER CASTAÑEDA GIL</v>
      </c>
      <c r="O167" t="str">
        <f>VLOOKUP(A167,#REF!,22,0)</f>
        <v>#REF!</v>
      </c>
    </row>
    <row r="168">
      <c r="A168" t="str">
        <v>171A</v>
      </c>
      <c r="B168" t="str">
        <v>FRANKLIEN SERGIO TRUJILLO ESPITIA</v>
      </c>
      <c r="D168">
        <v>212</v>
      </c>
      <c r="E168">
        <v>185</v>
      </c>
      <c r="F168">
        <v>0</v>
      </c>
      <c r="G168">
        <v>0</v>
      </c>
      <c r="H168">
        <v>0</v>
      </c>
      <c r="I168">
        <v>397</v>
      </c>
      <c r="J168">
        <v>0</v>
      </c>
      <c r="K168">
        <v>0</v>
      </c>
      <c r="L168">
        <f>I168-J168</f>
        <v>397</v>
      </c>
      <c r="M168">
        <v>45046</v>
      </c>
      <c r="N168" t="str">
        <f>VLOOKUP(B168,Hoja1!$B$1:$C$25,2,0)</f>
        <v>EDGAR JAVIER CASTAÑEDA GIL</v>
      </c>
      <c r="O168" t="str">
        <f>VLOOKUP(A168,#REF!,22,0)</f>
        <v>#REF!</v>
      </c>
    </row>
    <row r="169">
      <c r="A169" t="str">
        <v>176A</v>
      </c>
      <c r="B169" t="str">
        <v>FRANKLIEN SERGIO TRUJILLO ESPITIA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f>I169-J169</f>
        <v>0</v>
      </c>
      <c r="N169" t="str">
        <f>VLOOKUP(B169,Hoja1!$B$1:$C$25,2,0)</f>
        <v>EDGAR JAVIER CASTAÑEDA GIL</v>
      </c>
      <c r="O169" t="str">
        <f>VLOOKUP(A169,#REF!,22,0)</f>
        <v>#REF!</v>
      </c>
    </row>
    <row r="170">
      <c r="A170" t="str">
        <v>178A</v>
      </c>
      <c r="B170" t="str">
        <v>FRANKLIEN SERGIO TRUJILLO ESPITIA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f>I170-J170</f>
        <v>0</v>
      </c>
      <c r="N170" t="str">
        <f>VLOOKUP(B170,Hoja1!$B$1:$C$25,2,0)</f>
        <v>EDGAR JAVIER CASTAÑEDA GIL</v>
      </c>
      <c r="O170" t="str">
        <f>VLOOKUP(A170,#REF!,22,0)</f>
        <v>#REF!</v>
      </c>
    </row>
    <row r="171">
      <c r="A171" t="str">
        <v>275A</v>
      </c>
      <c r="B171" t="str">
        <v>FRANKLIEN SERGIO TRUJILLO ESPITIA</v>
      </c>
      <c r="D171" t="e">
        <v>#N/A</v>
      </c>
      <c r="E171" t="e">
        <v>#N/A</v>
      </c>
      <c r="F171">
        <v>0</v>
      </c>
      <c r="G171">
        <v>0</v>
      </c>
      <c r="H171">
        <v>0</v>
      </c>
      <c r="I171" t="e">
        <v>#N/A</v>
      </c>
      <c r="J171">
        <v>0</v>
      </c>
      <c r="K171">
        <v>0</v>
      </c>
      <c r="L171" t="str">
        <v>N/A</v>
      </c>
      <c r="N171" t="str">
        <f>VLOOKUP(B171,Hoja1!$B$1:$C$25,2,0)</f>
        <v>EDGAR JAVIER CASTAÑEDA GIL</v>
      </c>
      <c r="O171" t="str">
        <f>VLOOKUP(A171,#REF!,22,0)</f>
        <v>#REF!</v>
      </c>
    </row>
    <row r="172">
      <c r="A172" t="str">
        <v>63A</v>
      </c>
      <c r="B172" t="str">
        <v>FRANKLIEN SERGIO TRUJILLO ESPITIA</v>
      </c>
      <c r="D172" t="e">
        <v>#N/A</v>
      </c>
      <c r="E172" t="e">
        <v>#N/A</v>
      </c>
      <c r="F172">
        <v>0</v>
      </c>
      <c r="G172">
        <v>0</v>
      </c>
      <c r="H172">
        <v>0</v>
      </c>
      <c r="I172" t="e">
        <v>#N/A</v>
      </c>
      <c r="J172">
        <v>0</v>
      </c>
      <c r="K172">
        <v>0</v>
      </c>
      <c r="L172" t="str">
        <v>N/A</v>
      </c>
      <c r="N172" t="str">
        <f>VLOOKUP(B172,Hoja1!$B$1:$C$25,2,0)</f>
        <v>EDGAR JAVIER CASTAÑEDA GIL</v>
      </c>
      <c r="O172" t="str">
        <f>VLOOKUP(A172,#REF!,22,0)</f>
        <v>#REF!</v>
      </c>
    </row>
    <row r="173">
      <c r="A173">
        <v>31</v>
      </c>
      <c r="B173" t="str">
        <v>DIEGO EFRAIN SOTO VELLOJIN</v>
      </c>
      <c r="C173" t="str">
        <v>NO</v>
      </c>
      <c r="D173">
        <v>10</v>
      </c>
      <c r="E173">
        <v>21</v>
      </c>
      <c r="F173">
        <v>0</v>
      </c>
      <c r="G173">
        <v>0</v>
      </c>
      <c r="H173">
        <v>0</v>
      </c>
      <c r="I173">
        <v>31</v>
      </c>
      <c r="J173">
        <v>0</v>
      </c>
      <c r="K173">
        <v>2</v>
      </c>
      <c r="L173">
        <f>I173-J173</f>
        <v>31</v>
      </c>
      <c r="M173">
        <v>44985</v>
      </c>
      <c r="N173" t="str">
        <f>VLOOKUP(B173,Hoja1!$B$1:$C$25,2,0)</f>
        <v>LEONARDO PINZON URIBE</v>
      </c>
      <c r="O173" t="str">
        <f>VLOOKUP(A173,#REF!,22,0)</f>
        <v>#REF!</v>
      </c>
    </row>
    <row r="174">
      <c r="A174">
        <v>35</v>
      </c>
      <c r="B174" t="str">
        <v>DIEGO EFRAIN SOTO VELLOJIN</v>
      </c>
      <c r="C174" t="str">
        <v>NO</v>
      </c>
      <c r="D174">
        <v>403</v>
      </c>
      <c r="E174">
        <v>122</v>
      </c>
      <c r="F174">
        <v>0</v>
      </c>
      <c r="G174">
        <v>0</v>
      </c>
      <c r="H174">
        <v>0</v>
      </c>
      <c r="I174">
        <v>525</v>
      </c>
      <c r="J174">
        <v>131</v>
      </c>
      <c r="K174">
        <v>3</v>
      </c>
      <c r="L174">
        <f>I174-J174</f>
        <v>394</v>
      </c>
      <c r="M174">
        <v>45000</v>
      </c>
      <c r="N174" t="str">
        <f>VLOOKUP(B174,Hoja1!$B$1:$C$25,2,0)</f>
        <v>LEONARDO PINZON URIBE</v>
      </c>
      <c r="O174" t="str">
        <f>VLOOKUP(A174,#REF!,22,0)</f>
        <v>#REF!</v>
      </c>
    </row>
    <row r="175">
      <c r="A175">
        <v>37</v>
      </c>
      <c r="B175" t="str">
        <v>DIEGO EFRAIN SOTO VELLOJIN</v>
      </c>
      <c r="C175" t="str">
        <v>NO</v>
      </c>
      <c r="D175">
        <v>131</v>
      </c>
      <c r="E175">
        <v>158</v>
      </c>
      <c r="F175">
        <v>0</v>
      </c>
      <c r="G175">
        <v>0</v>
      </c>
      <c r="H175">
        <v>0</v>
      </c>
      <c r="I175">
        <v>289</v>
      </c>
      <c r="J175">
        <v>52</v>
      </c>
      <c r="K175">
        <v>2</v>
      </c>
      <c r="L175">
        <f>I175-J175</f>
        <v>237</v>
      </c>
      <c r="M175">
        <v>45000</v>
      </c>
      <c r="N175" t="str">
        <f>VLOOKUP(B175,Hoja1!$B$1:$C$25,2,0)</f>
        <v>LEONARDO PINZON URIBE</v>
      </c>
      <c r="O175" t="str">
        <f>VLOOKUP(A175,#REF!,22,0)</f>
        <v>#REF!</v>
      </c>
    </row>
    <row r="176">
      <c r="A176">
        <v>41</v>
      </c>
      <c r="B176" t="str">
        <v>DIEGO EFRAIN SOTO VELLOJIN</v>
      </c>
      <c r="C176" t="str">
        <v>NO</v>
      </c>
      <c r="D176">
        <v>161</v>
      </c>
      <c r="E176">
        <v>191</v>
      </c>
      <c r="F176">
        <v>0</v>
      </c>
      <c r="G176">
        <v>0</v>
      </c>
      <c r="H176">
        <v>0</v>
      </c>
      <c r="I176">
        <v>352</v>
      </c>
      <c r="J176">
        <v>96</v>
      </c>
      <c r="K176">
        <v>4</v>
      </c>
      <c r="L176">
        <f>I176-J176</f>
        <v>256</v>
      </c>
      <c r="M176">
        <v>45000</v>
      </c>
      <c r="N176" t="str">
        <f>VLOOKUP(B176,Hoja1!$B$1:$C$25,2,0)</f>
        <v>LEONARDO PINZON URIBE</v>
      </c>
      <c r="O176" t="str">
        <f>VLOOKUP(A176,#REF!,22,0)</f>
        <v>#REF!</v>
      </c>
    </row>
    <row r="177">
      <c r="A177">
        <v>42</v>
      </c>
      <c r="B177" t="str">
        <v>DIEGO EFRAIN SOTO VELLOJIN</v>
      </c>
      <c r="C177" t="str">
        <v>NO</v>
      </c>
      <c r="D177">
        <v>538</v>
      </c>
      <c r="E177">
        <v>109</v>
      </c>
      <c r="F177">
        <v>1420</v>
      </c>
      <c r="G177">
        <v>0</v>
      </c>
      <c r="H177">
        <v>170</v>
      </c>
      <c r="I177">
        <v>2237</v>
      </c>
      <c r="J177">
        <v>0</v>
      </c>
      <c r="K177">
        <v>4</v>
      </c>
      <c r="L177">
        <f>I177-J177</f>
        <v>2237</v>
      </c>
      <c r="M177">
        <v>45046</v>
      </c>
      <c r="N177" t="str">
        <f>VLOOKUP(B177,Hoja1!$B$1:$C$25,2,0)</f>
        <v>LEONARDO PINZON URIBE</v>
      </c>
      <c r="O177" t="str">
        <f>VLOOKUP(A177,#REF!,22,0)</f>
        <v>#REF!</v>
      </c>
    </row>
    <row r="178">
      <c r="A178">
        <v>89</v>
      </c>
      <c r="B178" t="str">
        <v>DIEGO EFRAIN SOTO VELLOJIN</v>
      </c>
      <c r="C178" t="str">
        <v>NO</v>
      </c>
      <c r="D178">
        <v>256</v>
      </c>
      <c r="E178">
        <v>14</v>
      </c>
      <c r="F178">
        <v>270</v>
      </c>
      <c r="G178">
        <v>280</v>
      </c>
      <c r="H178">
        <v>0</v>
      </c>
      <c r="I178">
        <v>820</v>
      </c>
      <c r="J178">
        <v>42</v>
      </c>
      <c r="K178">
        <v>4</v>
      </c>
      <c r="L178">
        <f>I178-J178</f>
        <v>778</v>
      </c>
      <c r="M178">
        <v>45000</v>
      </c>
      <c r="N178" t="str">
        <f>VLOOKUP(B178,Hoja1!$B$1:$C$25,2,0)</f>
        <v>LEONARDO PINZON URIBE</v>
      </c>
      <c r="O178" t="str">
        <f>VLOOKUP(A178,#REF!,22,0)</f>
        <v>#REF!</v>
      </c>
    </row>
    <row r="179">
      <c r="A179">
        <v>184</v>
      </c>
      <c r="B179" t="str">
        <v>DIEGO EFRAIN SOTO VELLOJIN</v>
      </c>
      <c r="C179" t="str">
        <v>SI</v>
      </c>
      <c r="D179">
        <v>27</v>
      </c>
      <c r="E179">
        <v>53</v>
      </c>
      <c r="F179">
        <v>0</v>
      </c>
      <c r="G179">
        <v>0</v>
      </c>
      <c r="H179">
        <v>0</v>
      </c>
      <c r="I179">
        <v>80</v>
      </c>
      <c r="J179">
        <v>0</v>
      </c>
      <c r="K179">
        <v>0</v>
      </c>
      <c r="L179">
        <f>I179-J179</f>
        <v>80</v>
      </c>
      <c r="M179">
        <v>44985</v>
      </c>
      <c r="N179" t="str">
        <f>VLOOKUP(B179,Hoja1!$B$1:$C$25,2,0)</f>
        <v>LEONARDO PINZON URIBE</v>
      </c>
      <c r="O179" t="str">
        <f>VLOOKUP(A179,#REF!,22,0)</f>
        <v>#REF!</v>
      </c>
    </row>
    <row r="180">
      <c r="A180">
        <v>196</v>
      </c>
      <c r="B180" t="str">
        <v>DIEGO EFRAIN SOTO VELLOJIN</v>
      </c>
      <c r="C180" t="str">
        <v>NO</v>
      </c>
      <c r="D180">
        <v>395</v>
      </c>
      <c r="E180">
        <v>80</v>
      </c>
      <c r="F180">
        <v>0</v>
      </c>
      <c r="G180">
        <v>0</v>
      </c>
      <c r="H180">
        <v>0</v>
      </c>
      <c r="I180">
        <v>475</v>
      </c>
      <c r="J180">
        <v>275</v>
      </c>
      <c r="K180">
        <v>4</v>
      </c>
      <c r="L180">
        <f>I180-J180</f>
        <v>200</v>
      </c>
      <c r="M180">
        <v>44985</v>
      </c>
      <c r="N180" t="str">
        <f>VLOOKUP(B180,Hoja1!$B$1:$C$25,2,0)</f>
        <v>LEONARDO PINZON URIBE</v>
      </c>
      <c r="O180" t="str">
        <f>VLOOKUP(A180,#REF!,22,0)</f>
        <v>#REF!</v>
      </c>
    </row>
    <row r="181">
      <c r="A181">
        <v>305</v>
      </c>
      <c r="B181" t="str">
        <v>DIEGO EFRAIN SOTO VELLOJIN</v>
      </c>
      <c r="C181" t="str">
        <v>SI</v>
      </c>
      <c r="D181" t="e">
        <v>#N/A</v>
      </c>
      <c r="E181" t="e">
        <v>#N/A</v>
      </c>
      <c r="F181">
        <v>0</v>
      </c>
      <c r="G181">
        <v>0</v>
      </c>
      <c r="H181">
        <v>0</v>
      </c>
      <c r="I181" t="e">
        <v>#N/A</v>
      </c>
      <c r="J181">
        <v>0</v>
      </c>
      <c r="K181">
        <v>0</v>
      </c>
      <c r="L181" t="str">
        <v>N/A</v>
      </c>
      <c r="N181" t="str">
        <f>VLOOKUP(B181,Hoja1!$B$1:$C$25,2,0)</f>
        <v>LEONARDO PINZON URIBE</v>
      </c>
      <c r="O181" t="str">
        <f>VLOOKUP(A181,#REF!,22,0)</f>
        <v>#REF!</v>
      </c>
    </row>
    <row r="182">
      <c r="A182">
        <v>43</v>
      </c>
      <c r="B182" t="str">
        <v>HECTOR DANIEL RUBIANO ORTIZ</v>
      </c>
      <c r="C182" t="str">
        <v>NO</v>
      </c>
      <c r="D182">
        <v>5</v>
      </c>
      <c r="E182">
        <v>5</v>
      </c>
      <c r="F182">
        <v>0</v>
      </c>
      <c r="G182">
        <v>4</v>
      </c>
      <c r="H182">
        <v>1</v>
      </c>
      <c r="I182">
        <v>15</v>
      </c>
      <c r="J182">
        <v>12</v>
      </c>
      <c r="K182">
        <v>1</v>
      </c>
      <c r="L182" t="str">
        <v>N/A</v>
      </c>
      <c r="N182" t="str">
        <f>VLOOKUP(B182,Hoja1!$B$1:$C$25,2,0)</f>
        <v>LUISA FERNANDA MEJIA CORREA</v>
      </c>
      <c r="O182" t="str">
        <f>VLOOKUP(A182,#REF!,22,0)</f>
        <v>#REF!</v>
      </c>
    </row>
    <row r="183">
      <c r="A183">
        <v>44</v>
      </c>
      <c r="B183" t="str">
        <v>HECTOR DANIEL RUBIANO ORTIZ</v>
      </c>
      <c r="C183" t="str">
        <v>NO</v>
      </c>
      <c r="D183">
        <v>43</v>
      </c>
      <c r="E183">
        <v>45</v>
      </c>
      <c r="F183">
        <v>0</v>
      </c>
      <c r="G183">
        <v>47</v>
      </c>
      <c r="H183">
        <v>25</v>
      </c>
      <c r="I183">
        <v>160</v>
      </c>
      <c r="J183">
        <v>20</v>
      </c>
      <c r="K183">
        <v>1</v>
      </c>
      <c r="L183" t="str">
        <v>N/A</v>
      </c>
      <c r="N183" t="str">
        <f>VLOOKUP(B183,Hoja1!$B$1:$C$25,2,0)</f>
        <v>LUISA FERNANDA MEJIA CORREA</v>
      </c>
      <c r="O183" t="str">
        <f>VLOOKUP(A183,#REF!,22,0)</f>
        <v>#REF!</v>
      </c>
    </row>
    <row r="184">
      <c r="A184">
        <v>45</v>
      </c>
      <c r="B184" t="str">
        <v>HECTOR DANIEL RUBIANO ORTIZ</v>
      </c>
      <c r="C184" t="str">
        <v>SI</v>
      </c>
      <c r="D184">
        <v>30</v>
      </c>
      <c r="E184">
        <v>30</v>
      </c>
      <c r="F184">
        <v>0</v>
      </c>
      <c r="G184">
        <v>44</v>
      </c>
      <c r="H184">
        <v>15</v>
      </c>
      <c r="I184">
        <v>119</v>
      </c>
      <c r="J184">
        <v>0</v>
      </c>
      <c r="K184">
        <v>0</v>
      </c>
      <c r="L184">
        <v>1</v>
      </c>
      <c r="N184" t="str">
        <f>VLOOKUP(B184,Hoja1!$B$1:$C$25,2,0)</f>
        <v>LUISA FERNANDA MEJIA CORREA</v>
      </c>
      <c r="O184" t="str">
        <f>VLOOKUP(A184,#REF!,22,0)</f>
        <v>#REF!</v>
      </c>
    </row>
    <row r="185">
      <c r="A185">
        <v>46</v>
      </c>
      <c r="B185" t="str">
        <v>HECTOR DANIEL RUBIANO ORTIZ</v>
      </c>
      <c r="C185" t="str">
        <v>NO</v>
      </c>
      <c r="D185">
        <v>350</v>
      </c>
      <c r="E185">
        <v>350</v>
      </c>
      <c r="F185">
        <v>0</v>
      </c>
      <c r="G185">
        <v>313</v>
      </c>
      <c r="H185">
        <v>30</v>
      </c>
      <c r="I185">
        <v>1043</v>
      </c>
      <c r="J185">
        <v>342</v>
      </c>
      <c r="K185">
        <v>4</v>
      </c>
      <c r="L185" t="str">
        <v>N/A</v>
      </c>
      <c r="N185" t="str">
        <f>VLOOKUP(B185,Hoja1!$B$1:$C$25,2,0)</f>
        <v>LUISA FERNANDA MEJIA CORREA</v>
      </c>
      <c r="O185" t="str">
        <f>VLOOKUP(A185,#REF!,22,0)</f>
        <v>#REF!</v>
      </c>
    </row>
    <row r="186">
      <c r="A186">
        <v>47</v>
      </c>
      <c r="B186" t="str">
        <v>HECTOR DANIEL RUBIANO ORTIZ</v>
      </c>
      <c r="C186" t="str">
        <v>NO</v>
      </c>
      <c r="D186">
        <v>350</v>
      </c>
      <c r="E186">
        <v>400</v>
      </c>
      <c r="F186">
        <v>0</v>
      </c>
      <c r="G186">
        <v>543</v>
      </c>
      <c r="H186">
        <v>105</v>
      </c>
      <c r="I186">
        <v>1398</v>
      </c>
      <c r="J186">
        <v>705</v>
      </c>
      <c r="K186">
        <v>4</v>
      </c>
      <c r="L186" t="str">
        <v>N/A</v>
      </c>
      <c r="N186" t="str">
        <f>VLOOKUP(B186,Hoja1!$B$1:$C$25,2,0)</f>
        <v>LUISA FERNANDA MEJIA CORREA</v>
      </c>
      <c r="O186" t="str">
        <f>VLOOKUP(A186,#REF!,22,0)</f>
        <v>#REF!</v>
      </c>
    </row>
    <row r="187">
      <c r="A187">
        <v>48</v>
      </c>
      <c r="B187" t="str">
        <v>HECTOR DANIEL RUBIANO ORTIZ</v>
      </c>
      <c r="C187" t="str">
        <v>SI</v>
      </c>
      <c r="D187">
        <v>32</v>
      </c>
      <c r="E187">
        <v>30</v>
      </c>
      <c r="F187">
        <v>0</v>
      </c>
      <c r="G187">
        <v>60</v>
      </c>
      <c r="H187">
        <v>0</v>
      </c>
      <c r="I187">
        <v>122</v>
      </c>
      <c r="J187">
        <v>0</v>
      </c>
      <c r="K187">
        <v>0</v>
      </c>
      <c r="L187">
        <v>1</v>
      </c>
      <c r="N187" t="str">
        <f>VLOOKUP(B187,Hoja1!$B$1:$C$25,2,0)</f>
        <v>LUISA FERNANDA MEJIA CORREA</v>
      </c>
      <c r="O187" t="str">
        <f>VLOOKUP(A187,#REF!,22,0)</f>
        <v>#REF!</v>
      </c>
    </row>
    <row r="188">
      <c r="A188">
        <v>49</v>
      </c>
      <c r="B188" t="str">
        <v>HECTOR DANIEL RUBIANO ORTIZ</v>
      </c>
      <c r="C188" t="str">
        <v>NO</v>
      </c>
      <c r="D188">
        <v>100</v>
      </c>
      <c r="E188">
        <v>90</v>
      </c>
      <c r="F188">
        <v>0</v>
      </c>
      <c r="G188">
        <v>181</v>
      </c>
      <c r="H188">
        <v>0</v>
      </c>
      <c r="I188">
        <v>371</v>
      </c>
      <c r="J188">
        <v>177</v>
      </c>
      <c r="K188">
        <v>1</v>
      </c>
      <c r="L188" t="str">
        <v>N/A</v>
      </c>
      <c r="N188" t="str">
        <f>VLOOKUP(B188,Hoja1!$B$1:$C$25,2,0)</f>
        <v>LUISA FERNANDA MEJIA CORREA</v>
      </c>
      <c r="O188" t="str">
        <f>VLOOKUP(A188,#REF!,22,0)</f>
        <v>#REF!</v>
      </c>
    </row>
    <row r="189">
      <c r="A189">
        <v>111</v>
      </c>
      <c r="B189" t="str">
        <v>HECTOR DANIEL RUBIANO ORTIZ</v>
      </c>
      <c r="C189" t="str">
        <v>NO</v>
      </c>
      <c r="D189">
        <v>313</v>
      </c>
      <c r="E189">
        <v>300</v>
      </c>
      <c r="F189">
        <v>0</v>
      </c>
      <c r="G189">
        <v>286</v>
      </c>
      <c r="H189">
        <v>60</v>
      </c>
      <c r="I189">
        <v>959</v>
      </c>
      <c r="J189">
        <v>454</v>
      </c>
      <c r="K189">
        <v>3</v>
      </c>
      <c r="L189" t="str">
        <v>N/A</v>
      </c>
      <c r="N189" t="str">
        <f>VLOOKUP(B189,Hoja1!$B$1:$C$25,2,0)</f>
        <v>LUISA FERNANDA MEJIA CORREA</v>
      </c>
      <c r="O189" t="str">
        <f>VLOOKUP(A189,#REF!,22,0)</f>
        <v>#REF!</v>
      </c>
    </row>
    <row r="190">
      <c r="A190">
        <v>112</v>
      </c>
      <c r="B190" t="str">
        <v>HECTOR DANIEL RUBIANO ORTIZ</v>
      </c>
      <c r="C190" t="str">
        <v>NO</v>
      </c>
      <c r="D190">
        <v>48</v>
      </c>
      <c r="E190">
        <v>28</v>
      </c>
      <c r="F190">
        <v>0</v>
      </c>
      <c r="G190">
        <v>13</v>
      </c>
      <c r="H190">
        <v>0</v>
      </c>
      <c r="I190">
        <v>89</v>
      </c>
      <c r="J190">
        <v>35</v>
      </c>
      <c r="K190">
        <v>1</v>
      </c>
      <c r="L190" t="str">
        <v>N/A</v>
      </c>
      <c r="N190" t="str">
        <f>VLOOKUP(B190,Hoja1!$B$1:$C$25,2,0)</f>
        <v>LUISA FERNANDA MEJIA CORREA</v>
      </c>
      <c r="O190" t="str">
        <f>VLOOKUP(A190,#REF!,22,0)</f>
        <v>#REF!</v>
      </c>
    </row>
    <row r="191">
      <c r="A191">
        <v>250</v>
      </c>
      <c r="B191" t="str">
        <v>HECTOR DANIEL RUBIANO ORTIZ</v>
      </c>
      <c r="C191" t="str">
        <v>NO</v>
      </c>
      <c r="D191">
        <v>27</v>
      </c>
      <c r="E191">
        <v>17</v>
      </c>
      <c r="F191">
        <v>0</v>
      </c>
      <c r="G191">
        <v>19</v>
      </c>
      <c r="H191">
        <v>35</v>
      </c>
      <c r="I191">
        <v>98</v>
      </c>
      <c r="J191">
        <v>57</v>
      </c>
      <c r="K191">
        <v>1</v>
      </c>
      <c r="L191" t="str">
        <v>N/A</v>
      </c>
      <c r="N191" t="str">
        <f>VLOOKUP(B191,Hoja1!$B$1:$C$25,2,0)</f>
        <v>LUISA FERNANDA MEJIA CORREA</v>
      </c>
      <c r="O191" t="str">
        <f>VLOOKUP(A191,#REF!,22,0)</f>
        <v>#REF!</v>
      </c>
    </row>
    <row r="192">
      <c r="A192">
        <v>309</v>
      </c>
      <c r="B192" t="str">
        <v>HECTOR DANIEL RUBIANO ORTIZ</v>
      </c>
      <c r="C192" t="str">
        <v>SI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 t="str">
        <f>VLOOKUP(B192,Hoja1!$B$1:$C$25,2,0)</f>
        <v>LUISA FERNANDA MEJIA CORREA</v>
      </c>
      <c r="O192" t="str">
        <f>VLOOKUP(A192,#REF!,22,0)</f>
        <v>#REF!</v>
      </c>
    </row>
    <row r="193">
      <c r="A193" t="str">
        <v>44A</v>
      </c>
      <c r="B193" t="str">
        <v>HECTOR DANIEL RUBIANO ORTIZ</v>
      </c>
      <c r="C193" t="str">
        <v>NO</v>
      </c>
      <c r="D193">
        <v>168</v>
      </c>
      <c r="E193">
        <v>163</v>
      </c>
      <c r="F193">
        <v>0</v>
      </c>
      <c r="G193">
        <v>318</v>
      </c>
      <c r="H193">
        <v>16</v>
      </c>
      <c r="I193">
        <v>665</v>
      </c>
      <c r="J193">
        <v>121</v>
      </c>
      <c r="K193">
        <v>2</v>
      </c>
      <c r="L193" t="str">
        <v>N/A</v>
      </c>
      <c r="N193" t="str">
        <f>VLOOKUP(B193,Hoja1!$B$1:$C$25,2,0)</f>
        <v>LUISA FERNANDA MEJIA CORREA</v>
      </c>
      <c r="O193" t="str">
        <f>VLOOKUP(A193,#REF!,22,0)</f>
        <v>#REF!</v>
      </c>
    </row>
    <row r="194">
      <c r="A194" t="str">
        <v>44B</v>
      </c>
      <c r="B194" t="str">
        <v>HECTOR DANIEL RUBIANO ORTIZ</v>
      </c>
      <c r="C194" t="str">
        <v>NO</v>
      </c>
      <c r="D194">
        <v>211</v>
      </c>
      <c r="E194">
        <v>195</v>
      </c>
      <c r="F194">
        <v>0</v>
      </c>
      <c r="G194">
        <v>428</v>
      </c>
      <c r="H194">
        <v>86</v>
      </c>
      <c r="I194">
        <v>920</v>
      </c>
      <c r="J194">
        <v>319</v>
      </c>
      <c r="K194">
        <v>2</v>
      </c>
      <c r="L194" t="str">
        <v>N/A</v>
      </c>
      <c r="N194" t="str">
        <f>VLOOKUP(B194,Hoja1!$B$1:$C$25,2,0)</f>
        <v>LUISA FERNANDA MEJIA CORREA</v>
      </c>
      <c r="O194" t="str">
        <f>VLOOKUP(A194,#REF!,22,0)</f>
        <v>#REF!</v>
      </c>
    </row>
    <row r="195">
      <c r="A195">
        <v>318</v>
      </c>
      <c r="B195" t="str">
        <v>HECTOR DANIEL RUBIANO ORTIZ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N195" t="str">
        <f>VLOOKUP(B195,Hoja1!$B$1:$C$25,2,0)</f>
        <v>LUISA FERNANDA MEJIA CORREA</v>
      </c>
      <c r="O195" t="str">
        <f>VLOOKUP(A195,#REF!,22,0)</f>
        <v>#REF!</v>
      </c>
    </row>
    <row r="196">
      <c r="A196">
        <v>23</v>
      </c>
      <c r="B196" t="str">
        <v>JAVIER MAURICIO SARMIENTO CARRERO</v>
      </c>
      <c r="C196" t="str">
        <v>NO</v>
      </c>
      <c r="D196">
        <v>21</v>
      </c>
      <c r="E196">
        <v>126</v>
      </c>
      <c r="F196">
        <v>0</v>
      </c>
      <c r="G196">
        <v>0</v>
      </c>
      <c r="H196">
        <v>0</v>
      </c>
      <c r="I196">
        <v>147</v>
      </c>
      <c r="J196">
        <v>0</v>
      </c>
      <c r="K196">
        <v>1</v>
      </c>
      <c r="L196">
        <f>I196-J196</f>
        <v>147</v>
      </c>
      <c r="M196">
        <v>44985</v>
      </c>
      <c r="N196" t="str">
        <f>VLOOKUP(B196,Hoja1!$B$1:$C$25,2,0)</f>
        <v>EDGAR JAVIER CASTAÑEDA GIL</v>
      </c>
      <c r="O196" t="str">
        <f>VLOOKUP(A196,#REF!,22,0)</f>
        <v>#REF!</v>
      </c>
    </row>
    <row r="197">
      <c r="A197">
        <v>25</v>
      </c>
      <c r="B197" t="str">
        <v>JAVIER MAURICIO SARMIENTO CARRERO</v>
      </c>
      <c r="C197" t="str">
        <v>NO</v>
      </c>
      <c r="D197">
        <v>198</v>
      </c>
      <c r="E197">
        <v>104</v>
      </c>
      <c r="F197">
        <v>800</v>
      </c>
      <c r="G197">
        <v>130</v>
      </c>
      <c r="H197">
        <v>50</v>
      </c>
      <c r="I197">
        <v>1282</v>
      </c>
      <c r="J197">
        <v>203</v>
      </c>
      <c r="K197">
        <v>3</v>
      </c>
      <c r="L197">
        <f>I197-J197</f>
        <v>1079</v>
      </c>
      <c r="M197">
        <v>45016</v>
      </c>
      <c r="N197" t="str">
        <f>VLOOKUP(B197,Hoja1!$B$1:$C$25,2,0)</f>
        <v>EDGAR JAVIER CASTAÑEDA GIL</v>
      </c>
      <c r="O197" t="str">
        <f>VLOOKUP(A197,#REF!,22,0)</f>
        <v>#REF!</v>
      </c>
    </row>
    <row r="198">
      <c r="A198">
        <v>26</v>
      </c>
      <c r="B198" t="str">
        <v>JAVIER MAURICIO SARMIENTO CARRERO</v>
      </c>
      <c r="C198" t="str">
        <v>NO</v>
      </c>
      <c r="D198">
        <v>69</v>
      </c>
      <c r="E198">
        <v>2</v>
      </c>
      <c r="F198">
        <v>100</v>
      </c>
      <c r="G198">
        <v>60</v>
      </c>
      <c r="H198">
        <v>10</v>
      </c>
      <c r="I198">
        <v>241</v>
      </c>
      <c r="J198">
        <v>0</v>
      </c>
      <c r="K198">
        <v>1</v>
      </c>
      <c r="L198">
        <f>I198-J198</f>
        <v>241</v>
      </c>
      <c r="M198">
        <v>44985</v>
      </c>
      <c r="N198" t="str">
        <f>VLOOKUP(B198,Hoja1!$B$1:$C$25,2,0)</f>
        <v>EDGAR JAVIER CASTAÑEDA GIL</v>
      </c>
      <c r="O198" t="str">
        <f>VLOOKUP(A198,#REF!,22,0)</f>
        <v>#REF!</v>
      </c>
    </row>
    <row r="199">
      <c r="A199">
        <v>28</v>
      </c>
      <c r="B199" t="str">
        <v>JAVIER MAURICIO SARMIENTO CARRERO</v>
      </c>
      <c r="C199" t="str">
        <v>NO</v>
      </c>
      <c r="D199">
        <v>151</v>
      </c>
      <c r="E199">
        <v>249</v>
      </c>
      <c r="F199">
        <v>0</v>
      </c>
      <c r="G199">
        <v>0</v>
      </c>
      <c r="H199">
        <v>0</v>
      </c>
      <c r="I199">
        <v>400</v>
      </c>
      <c r="J199">
        <v>280</v>
      </c>
      <c r="K199">
        <v>2</v>
      </c>
      <c r="L199">
        <f>I199-J199</f>
        <v>120</v>
      </c>
      <c r="M199">
        <v>44985</v>
      </c>
      <c r="N199" t="str">
        <f>VLOOKUP(B199,Hoja1!$B$1:$C$25,2,0)</f>
        <v>EDGAR JAVIER CASTAÑEDA GIL</v>
      </c>
      <c r="O199" t="str">
        <f>VLOOKUP(A199,#REF!,22,0)</f>
        <v>#REF!</v>
      </c>
    </row>
    <row r="200">
      <c r="A200">
        <v>33</v>
      </c>
      <c r="B200" t="str">
        <v>JAVIER MAURICIO SARMIENTO CARRERO</v>
      </c>
      <c r="C200" t="str">
        <v>SI</v>
      </c>
      <c r="D200">
        <v>44</v>
      </c>
      <c r="E200">
        <v>0</v>
      </c>
      <c r="F200">
        <v>0</v>
      </c>
      <c r="G200">
        <v>0</v>
      </c>
      <c r="H200">
        <v>0</v>
      </c>
      <c r="I200">
        <v>44</v>
      </c>
      <c r="J200">
        <v>0</v>
      </c>
      <c r="K200">
        <v>0</v>
      </c>
      <c r="L200">
        <f>I200-J200</f>
        <v>44</v>
      </c>
      <c r="M200">
        <v>44985</v>
      </c>
      <c r="N200" t="str">
        <f>VLOOKUP(B200,Hoja1!$B$1:$C$25,2,0)</f>
        <v>EDGAR JAVIER CASTAÑEDA GIL</v>
      </c>
      <c r="O200" t="str">
        <f>VLOOKUP(A200,#REF!,22,0)</f>
        <v>#REF!</v>
      </c>
    </row>
    <row r="201">
      <c r="A201">
        <v>34</v>
      </c>
      <c r="B201" t="str">
        <v>JAVIER MAURICIO SARMIENTO CARRERO</v>
      </c>
      <c r="C201" t="str">
        <v>SI</v>
      </c>
      <c r="D201">
        <v>26</v>
      </c>
      <c r="E201">
        <v>0</v>
      </c>
      <c r="F201">
        <v>0</v>
      </c>
      <c r="G201">
        <v>0</v>
      </c>
      <c r="H201">
        <v>0</v>
      </c>
      <c r="I201">
        <v>26</v>
      </c>
      <c r="J201">
        <v>0</v>
      </c>
      <c r="K201">
        <v>0</v>
      </c>
      <c r="L201">
        <f>I201-J201</f>
        <v>26</v>
      </c>
      <c r="M201">
        <v>44985</v>
      </c>
      <c r="N201" t="str">
        <f>VLOOKUP(B201,Hoja1!$B$1:$C$25,2,0)</f>
        <v>EDGAR JAVIER CASTAÑEDA GIL</v>
      </c>
      <c r="O201" t="str">
        <f>VLOOKUP(A201,#REF!,22,0)</f>
        <v>#REF!</v>
      </c>
    </row>
    <row r="202">
      <c r="A202">
        <v>36</v>
      </c>
      <c r="B202" t="str">
        <v>JAVIER MAURICIO SARMIENTO CARRERO</v>
      </c>
      <c r="C202" t="str">
        <v>SI</v>
      </c>
      <c r="D202" t="e">
        <v>#N/A</v>
      </c>
      <c r="E202" t="e">
        <v>#N/A</v>
      </c>
      <c r="F202">
        <v>0</v>
      </c>
      <c r="G202">
        <v>0</v>
      </c>
      <c r="H202">
        <v>0</v>
      </c>
      <c r="I202" t="e">
        <v>#N/A</v>
      </c>
      <c r="J202">
        <v>0</v>
      </c>
      <c r="K202">
        <v>0</v>
      </c>
      <c r="L202" t="str">
        <v>N/A</v>
      </c>
      <c r="N202" t="str">
        <f>VLOOKUP(B202,Hoja1!$B$1:$C$25,2,0)</f>
        <v>EDGAR JAVIER CASTAÑEDA GIL</v>
      </c>
      <c r="O202" t="str">
        <f>VLOOKUP(A202,#REF!,22,0)</f>
        <v>#REF!</v>
      </c>
    </row>
    <row r="203">
      <c r="A203" t="str">
        <v>25A</v>
      </c>
      <c r="B203" t="str">
        <v>JAVIER MAURICIO SARMIENTO CARRERO</v>
      </c>
      <c r="C203" t="str">
        <v>NO</v>
      </c>
      <c r="D203">
        <v>315</v>
      </c>
      <c r="E203">
        <v>161</v>
      </c>
      <c r="F203">
        <v>0</v>
      </c>
      <c r="G203">
        <v>0</v>
      </c>
      <c r="H203">
        <v>0</v>
      </c>
      <c r="I203">
        <v>476</v>
      </c>
      <c r="J203">
        <v>477</v>
      </c>
      <c r="K203">
        <v>3</v>
      </c>
      <c r="L203">
        <f>I203-J203</f>
        <v>-1</v>
      </c>
      <c r="N203" t="str">
        <f>VLOOKUP(B203,Hoja1!$B$1:$C$25,2,0)</f>
        <v>EDGAR JAVIER CASTAÑEDA GIL</v>
      </c>
      <c r="O203" t="str">
        <f>VLOOKUP(A203,#REF!,22,0)</f>
        <v>#REF!</v>
      </c>
    </row>
    <row r="204">
      <c r="A204" t="str">
        <v>25B</v>
      </c>
      <c r="B204" t="str">
        <v>JAVIER MAURICIO SARMIENTO CARRERO</v>
      </c>
      <c r="C204" t="str">
        <v>NO</v>
      </c>
      <c r="D204">
        <v>332</v>
      </c>
      <c r="E204">
        <v>73</v>
      </c>
      <c r="F204">
        <v>133</v>
      </c>
      <c r="G204">
        <v>640</v>
      </c>
      <c r="H204">
        <v>10</v>
      </c>
      <c r="I204">
        <v>1188</v>
      </c>
      <c r="J204">
        <v>222</v>
      </c>
      <c r="K204">
        <v>3</v>
      </c>
      <c r="L204">
        <f>I204-J204</f>
        <v>966</v>
      </c>
      <c r="M204">
        <v>45016</v>
      </c>
      <c r="N204" t="str">
        <f>VLOOKUP(B204,Hoja1!$B$1:$C$25,2,0)</f>
        <v>EDGAR JAVIER CASTAÑEDA GIL</v>
      </c>
      <c r="O204" t="str">
        <f>VLOOKUP(A204,#REF!,22,0)</f>
        <v>#REF!</v>
      </c>
    </row>
    <row r="205">
      <c r="A205" t="str">
        <v>25C</v>
      </c>
      <c r="B205" t="str">
        <v>JAVIER MAURICIO SARMIENTO CARRERO</v>
      </c>
      <c r="C205" t="str">
        <v>NO</v>
      </c>
      <c r="D205">
        <v>350</v>
      </c>
      <c r="E205">
        <v>86</v>
      </c>
      <c r="F205">
        <v>200</v>
      </c>
      <c r="G205">
        <v>130</v>
      </c>
      <c r="H205">
        <v>50</v>
      </c>
      <c r="I205">
        <v>816</v>
      </c>
      <c r="J205">
        <v>236</v>
      </c>
      <c r="K205">
        <v>3</v>
      </c>
      <c r="L205">
        <f>I205-J205</f>
        <v>580</v>
      </c>
      <c r="M205">
        <v>45016</v>
      </c>
      <c r="N205" t="str">
        <f>VLOOKUP(B205,Hoja1!$B$1:$C$25,2,0)</f>
        <v>EDGAR JAVIER CASTAÑEDA GIL</v>
      </c>
      <c r="O205" t="str">
        <f>VLOOKUP(A205,#REF!,22,0)</f>
        <v>#REF!</v>
      </c>
    </row>
    <row r="206">
      <c r="A206">
        <v>343</v>
      </c>
      <c r="B206" t="str">
        <v>JAVIER MAURICIO SARMIENTO CARRERO</v>
      </c>
      <c r="J206">
        <v>0</v>
      </c>
      <c r="N206" t="str">
        <f>VLOOKUP(B206,Hoja1!$B$1:$C$25,2,0)</f>
        <v>EDGAR JAVIER CASTAÑEDA GIL</v>
      </c>
      <c r="O206" t="str">
        <f>VLOOKUP(A206,#REF!,22,0)</f>
        <v>#REF!</v>
      </c>
    </row>
    <row r="207">
      <c r="A207">
        <v>51</v>
      </c>
      <c r="B207" t="str">
        <v>JENNY ANDREA CABRERA ACERO</v>
      </c>
      <c r="C207" t="str">
        <v>NO</v>
      </c>
      <c r="D207">
        <v>121</v>
      </c>
      <c r="E207">
        <v>55</v>
      </c>
      <c r="F207">
        <v>100</v>
      </c>
      <c r="G207">
        <v>75</v>
      </c>
      <c r="H207">
        <v>1</v>
      </c>
      <c r="I207">
        <v>352</v>
      </c>
      <c r="J207">
        <v>0</v>
      </c>
      <c r="K207">
        <v>0</v>
      </c>
      <c r="L207">
        <f>I207-J207</f>
        <v>352</v>
      </c>
      <c r="M207">
        <v>45046</v>
      </c>
      <c r="N207" t="str">
        <f>VLOOKUP(B207,Hoja1!$B$1:$C$25,2,0)</f>
        <v>LEONARDO PINZON URIBE</v>
      </c>
      <c r="O207" t="str">
        <f>VLOOKUP(A207,#REF!,22,0)</f>
        <v>#REF!</v>
      </c>
    </row>
    <row r="208">
      <c r="A208">
        <v>52</v>
      </c>
      <c r="B208" t="str">
        <v>JENNY ANDREA CABRERA ACERO</v>
      </c>
      <c r="C208" t="str">
        <v>SI</v>
      </c>
      <c r="D208">
        <v>76</v>
      </c>
      <c r="E208">
        <v>77</v>
      </c>
      <c r="F208">
        <v>100</v>
      </c>
      <c r="G208">
        <v>22</v>
      </c>
      <c r="H208">
        <v>31</v>
      </c>
      <c r="I208">
        <v>306</v>
      </c>
      <c r="J208">
        <v>0</v>
      </c>
      <c r="K208">
        <v>2</v>
      </c>
      <c r="L208">
        <f>I208-J208</f>
        <v>306</v>
      </c>
      <c r="M208">
        <v>45000</v>
      </c>
      <c r="N208" t="str">
        <f>VLOOKUP(B208,Hoja1!$B$1:$C$25,2,0)</f>
        <v>LEONARDO PINZON URIBE</v>
      </c>
      <c r="O208" t="str">
        <f>VLOOKUP(A208,#REF!,22,0)</f>
        <v>#REF!</v>
      </c>
    </row>
    <row r="209">
      <c r="A209">
        <v>53</v>
      </c>
      <c r="B209" t="str">
        <v>JENNY ANDREA CABRERA ACERO</v>
      </c>
      <c r="C209" t="str">
        <v>NO</v>
      </c>
      <c r="D209">
        <v>45</v>
      </c>
      <c r="E209">
        <v>40</v>
      </c>
      <c r="F209">
        <v>116</v>
      </c>
      <c r="G209">
        <v>0</v>
      </c>
      <c r="H209">
        <v>18</v>
      </c>
      <c r="I209">
        <v>219</v>
      </c>
      <c r="J209">
        <v>0</v>
      </c>
      <c r="K209">
        <v>6</v>
      </c>
      <c r="L209">
        <f>I209-J209</f>
        <v>219</v>
      </c>
      <c r="M209">
        <v>44985</v>
      </c>
      <c r="N209" t="str">
        <f>VLOOKUP(B209,Hoja1!$B$1:$C$25,2,0)</f>
        <v>LEONARDO PINZON URIBE</v>
      </c>
      <c r="O209" t="str">
        <f>VLOOKUP(A209,#REF!,22,0)</f>
        <v>#REF!</v>
      </c>
    </row>
    <row r="210">
      <c r="A210">
        <v>54</v>
      </c>
      <c r="B210" t="str">
        <v>JENNY ANDREA CABRERA ACERO</v>
      </c>
      <c r="C210" t="str">
        <v>NO</v>
      </c>
      <c r="D210">
        <v>390</v>
      </c>
      <c r="E210">
        <v>365</v>
      </c>
      <c r="F210">
        <v>400</v>
      </c>
      <c r="G210">
        <v>355</v>
      </c>
      <c r="H210">
        <v>0</v>
      </c>
      <c r="I210">
        <v>1510</v>
      </c>
      <c r="J210">
        <v>0</v>
      </c>
      <c r="K210">
        <v>2</v>
      </c>
      <c r="L210">
        <f>I210-J210</f>
        <v>1510</v>
      </c>
      <c r="M210">
        <v>45046</v>
      </c>
      <c r="N210" t="str">
        <f>VLOOKUP(B210,Hoja1!$B$1:$C$25,2,0)</f>
        <v>LEONARDO PINZON URIBE</v>
      </c>
      <c r="O210" t="str">
        <f>VLOOKUP(A210,#REF!,22,0)</f>
        <v>#REF!</v>
      </c>
    </row>
    <row r="211">
      <c r="A211">
        <v>55</v>
      </c>
      <c r="B211" t="str">
        <v>JENNY ANDREA CABRERA ACERO</v>
      </c>
      <c r="C211" t="str">
        <v>NO</v>
      </c>
      <c r="D211">
        <v>340</v>
      </c>
      <c r="E211">
        <v>135</v>
      </c>
      <c r="F211">
        <v>475</v>
      </c>
      <c r="G211">
        <v>0</v>
      </c>
      <c r="H211">
        <v>0</v>
      </c>
      <c r="I211">
        <v>950</v>
      </c>
      <c r="J211">
        <v>0</v>
      </c>
      <c r="K211">
        <v>2</v>
      </c>
      <c r="L211">
        <f>I211-J211</f>
        <v>950</v>
      </c>
      <c r="M211">
        <v>45046</v>
      </c>
      <c r="N211" t="str">
        <f>VLOOKUP(B211,Hoja1!$B$1:$C$25,2,0)</f>
        <v>LEONARDO PINZON URIBE</v>
      </c>
      <c r="O211" t="str">
        <f>VLOOKUP(A211,#REF!,22,0)</f>
        <v>#REF!</v>
      </c>
    </row>
    <row r="212">
      <c r="A212">
        <v>56</v>
      </c>
      <c r="B212" t="str">
        <v>JENNY ANDREA CABRERA ACERO</v>
      </c>
      <c r="C212" t="str">
        <v>NO</v>
      </c>
      <c r="D212">
        <v>144</v>
      </c>
      <c r="E212">
        <v>112</v>
      </c>
      <c r="F212">
        <v>136</v>
      </c>
      <c r="G212">
        <v>100</v>
      </c>
      <c r="H212">
        <v>20</v>
      </c>
      <c r="I212">
        <v>512</v>
      </c>
      <c r="J212">
        <v>0</v>
      </c>
      <c r="K212">
        <v>3</v>
      </c>
      <c r="L212">
        <f>I212-J212</f>
        <v>512</v>
      </c>
      <c r="M212">
        <v>45016</v>
      </c>
      <c r="N212" t="str">
        <f>VLOOKUP(B212,Hoja1!$B$1:$C$25,2,0)</f>
        <v>LEONARDO PINZON URIBE</v>
      </c>
      <c r="O212" t="str">
        <f>VLOOKUP(A212,#REF!,22,0)</f>
        <v>#REF!</v>
      </c>
    </row>
    <row r="213">
      <c r="A213">
        <v>57</v>
      </c>
      <c r="B213" t="str">
        <v>NAYIBE XIMENA PICO ESPITA</v>
      </c>
      <c r="C213" t="str">
        <v>SI</v>
      </c>
      <c r="D213">
        <v>99</v>
      </c>
      <c r="E213">
        <v>101</v>
      </c>
      <c r="F213">
        <v>106</v>
      </c>
      <c r="G213">
        <v>20</v>
      </c>
      <c r="H213">
        <v>74</v>
      </c>
      <c r="I213">
        <v>400</v>
      </c>
      <c r="J213">
        <v>20</v>
      </c>
      <c r="K213">
        <v>0</v>
      </c>
      <c r="L213" t="str">
        <v>N/A</v>
      </c>
      <c r="N213" t="str">
        <f>VLOOKUP(B213,Hoja1!$B$1:$C$25,2,0)</f>
        <v>LUISA FERNANDA MEJIA CORREA</v>
      </c>
      <c r="O213" t="str">
        <f>VLOOKUP(A213,#REF!,22,0)</f>
        <v>#REF!</v>
      </c>
    </row>
    <row r="214">
      <c r="A214">
        <v>58</v>
      </c>
      <c r="B214" t="str">
        <v>JENNY ANDREA CABRERA ACERO</v>
      </c>
      <c r="C214" t="str">
        <v>SI</v>
      </c>
      <c r="D214">
        <v>279</v>
      </c>
      <c r="E214">
        <v>276</v>
      </c>
      <c r="F214">
        <v>415</v>
      </c>
      <c r="G214">
        <v>0</v>
      </c>
      <c r="H214">
        <v>140</v>
      </c>
      <c r="I214">
        <v>1110</v>
      </c>
      <c r="J214">
        <v>0</v>
      </c>
      <c r="K214">
        <v>3</v>
      </c>
      <c r="L214">
        <f>I214-J214</f>
        <v>1110</v>
      </c>
      <c r="M214">
        <v>45046</v>
      </c>
      <c r="N214" t="str">
        <f>VLOOKUP(B214,Hoja1!$B$1:$C$25,2,0)</f>
        <v>LEONARDO PINZON URIBE</v>
      </c>
      <c r="O214" t="str">
        <f>VLOOKUP(A214,#REF!,22,0)</f>
        <v>#REF!</v>
      </c>
    </row>
    <row r="215">
      <c r="A215">
        <v>79</v>
      </c>
      <c r="B215" t="str">
        <v>JENNY ANDREA CABRERA ACERO</v>
      </c>
      <c r="C215" t="str">
        <v>NO</v>
      </c>
      <c r="D215">
        <v>255</v>
      </c>
      <c r="E215">
        <v>15</v>
      </c>
      <c r="F215">
        <v>0</v>
      </c>
      <c r="G215">
        <v>0</v>
      </c>
      <c r="H215">
        <v>0</v>
      </c>
      <c r="I215">
        <v>270</v>
      </c>
      <c r="J215">
        <v>0</v>
      </c>
      <c r="K215">
        <v>1</v>
      </c>
      <c r="L215">
        <f>I215-J215</f>
        <v>270</v>
      </c>
      <c r="M215">
        <v>44985</v>
      </c>
      <c r="N215" t="str">
        <f>VLOOKUP(B215,Hoja1!$B$1:$C$25,2,0)</f>
        <v>LEONARDO PINZON URIBE</v>
      </c>
      <c r="O215" t="str">
        <f>VLOOKUP(A215,#REF!,22,0)</f>
        <v>#REF!</v>
      </c>
    </row>
    <row r="216">
      <c r="A216">
        <v>80</v>
      </c>
      <c r="B216" t="str">
        <v>JENNY ANDREA CABRERA ACERO</v>
      </c>
      <c r="C216" t="str">
        <v>SI</v>
      </c>
      <c r="D216">
        <v>47</v>
      </c>
      <c r="E216">
        <v>30</v>
      </c>
      <c r="F216">
        <v>0</v>
      </c>
      <c r="G216">
        <v>0</v>
      </c>
      <c r="H216">
        <v>0</v>
      </c>
      <c r="I216">
        <v>77</v>
      </c>
      <c r="J216">
        <v>0</v>
      </c>
      <c r="K216">
        <v>0</v>
      </c>
      <c r="L216">
        <f>I216-J216</f>
        <v>77</v>
      </c>
      <c r="M216">
        <v>44985</v>
      </c>
      <c r="N216" t="str">
        <f>VLOOKUP(B216,Hoja1!$B$1:$C$25,2,0)</f>
        <v>LEONARDO PINZON URIBE</v>
      </c>
      <c r="O216" t="str">
        <f>VLOOKUP(A216,#REF!,22,0)</f>
        <v>#REF!</v>
      </c>
    </row>
    <row r="217">
      <c r="A217">
        <v>81</v>
      </c>
      <c r="B217" t="str">
        <v>JENNY ANDREA CABRERA ACERO</v>
      </c>
      <c r="C217" t="str">
        <v>NO</v>
      </c>
      <c r="D217">
        <v>64</v>
      </c>
      <c r="E217">
        <v>129</v>
      </c>
      <c r="F217">
        <v>0</v>
      </c>
      <c r="G217">
        <v>0</v>
      </c>
      <c r="H217">
        <v>0</v>
      </c>
      <c r="I217">
        <v>193</v>
      </c>
      <c r="J217">
        <v>60</v>
      </c>
      <c r="K217">
        <v>1</v>
      </c>
      <c r="L217">
        <f>I217-J217</f>
        <v>133</v>
      </c>
      <c r="M217">
        <v>44985</v>
      </c>
      <c r="N217" t="str">
        <f>VLOOKUP(B217,Hoja1!$B$1:$C$25,2,0)</f>
        <v>LEONARDO PINZON URIBE</v>
      </c>
      <c r="O217" t="str">
        <f>VLOOKUP(A217,#REF!,22,0)</f>
        <v>#REF!</v>
      </c>
    </row>
    <row r="218">
      <c r="A218">
        <v>82</v>
      </c>
      <c r="B218" t="str">
        <v>JENNY ANDREA CABRERA ACERO</v>
      </c>
      <c r="C218" t="str">
        <v>SI</v>
      </c>
      <c r="D218">
        <v>30</v>
      </c>
      <c r="E218">
        <v>20</v>
      </c>
      <c r="F218">
        <v>0</v>
      </c>
      <c r="G218">
        <v>0</v>
      </c>
      <c r="H218">
        <v>0</v>
      </c>
      <c r="I218">
        <v>50</v>
      </c>
      <c r="J218">
        <v>26</v>
      </c>
      <c r="K218">
        <v>0</v>
      </c>
      <c r="L218">
        <v>0</v>
      </c>
      <c r="N218" t="str">
        <f>VLOOKUP(B218,Hoja1!$B$1:$C$25,2,0)</f>
        <v>LEONARDO PINZON URIBE</v>
      </c>
      <c r="O218" t="str">
        <f>VLOOKUP(A218,#REF!,22,0)</f>
        <v>#REF!</v>
      </c>
    </row>
    <row r="219">
      <c r="A219">
        <v>87</v>
      </c>
      <c r="B219" t="str">
        <v>JENNY ANDREA CABRERA ACERO</v>
      </c>
      <c r="C219" t="str">
        <v>NO</v>
      </c>
      <c r="D219">
        <v>296</v>
      </c>
      <c r="E219">
        <v>1</v>
      </c>
      <c r="F219">
        <v>0</v>
      </c>
      <c r="G219">
        <v>0</v>
      </c>
      <c r="H219">
        <v>0</v>
      </c>
      <c r="I219">
        <v>297</v>
      </c>
      <c r="J219">
        <v>0</v>
      </c>
      <c r="K219">
        <v>3</v>
      </c>
      <c r="L219">
        <f>I219-J219</f>
        <v>297</v>
      </c>
      <c r="M219">
        <v>45000</v>
      </c>
      <c r="N219" t="str">
        <f>VLOOKUP(B219,Hoja1!$B$1:$C$25,2,0)</f>
        <v>LEONARDO PINZON URIBE</v>
      </c>
      <c r="O219" t="str">
        <f>VLOOKUP(A219,#REF!,22,0)</f>
        <v>#REF!</v>
      </c>
    </row>
    <row r="220">
      <c r="A220">
        <v>90</v>
      </c>
      <c r="B220" t="str">
        <v>JENNY ANDREA CABRERA ACERO</v>
      </c>
      <c r="C220" t="str">
        <v>NO</v>
      </c>
      <c r="D220">
        <v>360</v>
      </c>
      <c r="E220">
        <v>79</v>
      </c>
      <c r="F220">
        <v>0</v>
      </c>
      <c r="G220">
        <v>0</v>
      </c>
      <c r="H220">
        <v>0</v>
      </c>
      <c r="I220">
        <v>439</v>
      </c>
      <c r="J220">
        <v>0</v>
      </c>
      <c r="K220">
        <v>5</v>
      </c>
      <c r="L220">
        <f>I220-J220</f>
        <v>439</v>
      </c>
      <c r="M220">
        <v>45000</v>
      </c>
      <c r="N220" t="str">
        <f>VLOOKUP(B220,Hoja1!$B$1:$C$25,2,0)</f>
        <v>LEONARDO PINZON URIBE</v>
      </c>
      <c r="O220" t="str">
        <f>VLOOKUP(A220,#REF!,22,0)</f>
        <v>#REF!</v>
      </c>
    </row>
    <row r="221">
      <c r="A221">
        <v>92</v>
      </c>
      <c r="B221" t="str">
        <v>JENNY ANDREA CABRERA ACERO</v>
      </c>
      <c r="C221" t="str">
        <v>NO</v>
      </c>
      <c r="D221">
        <v>70</v>
      </c>
      <c r="E221">
        <v>121</v>
      </c>
      <c r="F221">
        <v>0</v>
      </c>
      <c r="G221">
        <v>0</v>
      </c>
      <c r="H221">
        <v>0</v>
      </c>
      <c r="I221">
        <v>191</v>
      </c>
      <c r="J221">
        <v>47</v>
      </c>
      <c r="K221">
        <v>1</v>
      </c>
      <c r="L221" t="str">
        <v>N/A</v>
      </c>
      <c r="N221" t="str">
        <f>VLOOKUP(B221,Hoja1!$B$1:$C$25,2,0)</f>
        <v>LEONARDO PINZON URIBE</v>
      </c>
      <c r="O221" t="str">
        <f>VLOOKUP(A221,#REF!,22,0)</f>
        <v>#REF!</v>
      </c>
    </row>
    <row r="222">
      <c r="A222">
        <v>95</v>
      </c>
      <c r="B222" t="str">
        <v>JENNY ANDREA CABRERA ACERO</v>
      </c>
      <c r="C222" t="str">
        <v>SI</v>
      </c>
      <c r="D222">
        <v>60</v>
      </c>
      <c r="E222">
        <v>0</v>
      </c>
      <c r="F222">
        <v>0</v>
      </c>
      <c r="G222">
        <v>0</v>
      </c>
      <c r="H222">
        <v>0</v>
      </c>
      <c r="I222">
        <v>60</v>
      </c>
      <c r="J222">
        <v>56</v>
      </c>
      <c r="K222">
        <v>1</v>
      </c>
      <c r="L222">
        <v>0</v>
      </c>
      <c r="N222" t="str">
        <f>VLOOKUP(B222,Hoja1!$B$1:$C$25,2,0)</f>
        <v>LEONARDO PINZON URIBE</v>
      </c>
      <c r="O222" t="str">
        <f>VLOOKUP(A222,#REF!,22,0)</f>
        <v>#REF!</v>
      </c>
    </row>
    <row r="223">
      <c r="A223">
        <v>210</v>
      </c>
      <c r="B223" t="str">
        <v>JENNY ANDREA CABRERA ACERO</v>
      </c>
      <c r="C223" t="str">
        <v>SI</v>
      </c>
      <c r="D223">
        <v>126</v>
      </c>
      <c r="E223">
        <v>131</v>
      </c>
      <c r="F223">
        <v>222</v>
      </c>
      <c r="G223">
        <v>30</v>
      </c>
      <c r="H223">
        <v>5</v>
      </c>
      <c r="I223">
        <v>514</v>
      </c>
      <c r="J223">
        <v>0</v>
      </c>
      <c r="K223">
        <v>3</v>
      </c>
      <c r="L223">
        <f>I223-J223</f>
        <v>514</v>
      </c>
      <c r="M223">
        <v>45016</v>
      </c>
      <c r="N223" t="str">
        <f>VLOOKUP(B223,Hoja1!$B$1:$C$25,2,0)</f>
        <v>LEONARDO PINZON URIBE</v>
      </c>
      <c r="O223" t="str">
        <f>VLOOKUP(A223,#REF!,22,0)</f>
        <v>#REF!</v>
      </c>
    </row>
    <row r="224">
      <c r="A224">
        <v>296</v>
      </c>
      <c r="B224" t="str">
        <v>JENNY ANDREA CABRERA ACERO</v>
      </c>
      <c r="C224" t="str">
        <v>SI</v>
      </c>
      <c r="D224">
        <v>140</v>
      </c>
      <c r="E224">
        <v>100</v>
      </c>
      <c r="F224">
        <v>130</v>
      </c>
      <c r="G224">
        <v>110</v>
      </c>
      <c r="H224">
        <v>0</v>
      </c>
      <c r="I224">
        <v>480</v>
      </c>
      <c r="J224">
        <v>0</v>
      </c>
      <c r="K224">
        <v>3</v>
      </c>
      <c r="L224">
        <f>I224-J224</f>
        <v>480</v>
      </c>
      <c r="M224">
        <v>45000</v>
      </c>
      <c r="N224" t="str">
        <f>VLOOKUP(B224,Hoja1!$B$1:$C$25,2,0)</f>
        <v>LEONARDO PINZON URIBE</v>
      </c>
      <c r="O224" t="str">
        <f>VLOOKUP(A224,#REF!,22,0)</f>
        <v>#REF!</v>
      </c>
    </row>
    <row r="225">
      <c r="A225" t="str">
        <v>53A</v>
      </c>
      <c r="B225" t="str">
        <v>JENNY ANDREA CABRERA ACERO</v>
      </c>
      <c r="C225" t="str">
        <v>NO</v>
      </c>
      <c r="D225">
        <v>446</v>
      </c>
      <c r="E225">
        <v>682</v>
      </c>
      <c r="F225">
        <v>1069</v>
      </c>
      <c r="G225">
        <v>0</v>
      </c>
      <c r="H225">
        <v>59</v>
      </c>
      <c r="I225">
        <v>2256</v>
      </c>
      <c r="J225">
        <v>0</v>
      </c>
      <c r="K225">
        <v>6</v>
      </c>
      <c r="L225">
        <f>I225-J225</f>
        <v>2256</v>
      </c>
      <c r="M225">
        <v>45046</v>
      </c>
      <c r="N225" t="str">
        <f>VLOOKUP(B225,Hoja1!$B$1:$C$25,2,0)</f>
        <v>LEONARDO PINZON URIBE</v>
      </c>
      <c r="O225" t="str">
        <f>VLOOKUP(A225,#REF!,22,0)</f>
        <v>#REF!</v>
      </c>
    </row>
    <row r="226">
      <c r="A226" t="str">
        <v>90-3</v>
      </c>
      <c r="B226" t="str">
        <v>JENNY ANDREA CABRERA ACERO</v>
      </c>
      <c r="C226" t="str">
        <v>SI</v>
      </c>
      <c r="D226">
        <v>125</v>
      </c>
      <c r="E226">
        <v>0</v>
      </c>
      <c r="F226">
        <v>0</v>
      </c>
      <c r="G226">
        <v>0</v>
      </c>
      <c r="H226">
        <v>0</v>
      </c>
      <c r="I226">
        <v>125</v>
      </c>
      <c r="J226">
        <v>0</v>
      </c>
      <c r="K226">
        <v>0</v>
      </c>
      <c r="L226">
        <v>0</v>
      </c>
      <c r="N226" t="str">
        <f>VLOOKUP(B226,Hoja1!$B$1:$C$25,2,0)</f>
        <v>LEONARDO PINZON URIBE</v>
      </c>
      <c r="O226" t="str">
        <f>VLOOKUP(A226,#REF!,22,0)</f>
        <v>#REF!</v>
      </c>
    </row>
    <row r="227">
      <c r="A227">
        <v>325</v>
      </c>
      <c r="B227" t="str">
        <v>JENNY ANDREA CABRERA ACERO</v>
      </c>
      <c r="J227">
        <v>0</v>
      </c>
      <c r="N227" t="str">
        <f>VLOOKUP(B227,Hoja1!$B$1:$C$25,2,0)</f>
        <v>LEONARDO PINZON URIBE</v>
      </c>
      <c r="O227" t="str">
        <f>VLOOKUP(A227,#REF!,22,0)</f>
        <v>#REF!</v>
      </c>
    </row>
    <row r="228">
      <c r="A228">
        <v>326</v>
      </c>
      <c r="B228" t="str">
        <v>JENNY ANDREA CABRERA ACERO</v>
      </c>
      <c r="J228">
        <v>0</v>
      </c>
      <c r="N228" t="str">
        <f>VLOOKUP(B228,Hoja1!$B$1:$C$25,2,0)</f>
        <v>LEONARDO PINZON URIBE</v>
      </c>
      <c r="O228" t="str">
        <f>VLOOKUP(A228,#REF!,22,0)</f>
        <v>#REF!</v>
      </c>
    </row>
    <row r="229">
      <c r="A229">
        <v>327</v>
      </c>
      <c r="B229" t="str">
        <v>JENNY ANDREA CABRERA ACERO</v>
      </c>
      <c r="J229">
        <v>0</v>
      </c>
      <c r="N229" t="str">
        <f>VLOOKUP(B229,Hoja1!$B$1:$C$25,2,0)</f>
        <v>LEONARDO PINZON URIBE</v>
      </c>
      <c r="O229" t="str">
        <f>VLOOKUP(A229,#REF!,22,0)</f>
        <v>#REF!</v>
      </c>
    </row>
    <row r="230">
      <c r="A230">
        <v>328</v>
      </c>
      <c r="B230" t="str">
        <v>JENNY ANDREA CABRERA ACERO</v>
      </c>
      <c r="J230">
        <v>0</v>
      </c>
      <c r="N230" t="str">
        <f>VLOOKUP(B230,Hoja1!$B$1:$C$25,2,0)</f>
        <v>LEONARDO PINZON URIBE</v>
      </c>
      <c r="O230" t="str">
        <f>VLOOKUP(A230,#REF!,22,0)</f>
        <v>#REF!</v>
      </c>
    </row>
    <row r="231">
      <c r="A231">
        <v>329</v>
      </c>
      <c r="B231" t="str">
        <v>JENNY ANDREA CABRERA ACERO</v>
      </c>
      <c r="J231">
        <v>0</v>
      </c>
      <c r="N231" t="str">
        <f>VLOOKUP(B231,Hoja1!$B$1:$C$25,2,0)</f>
        <v>LEONARDO PINZON URIBE</v>
      </c>
      <c r="O231" t="str">
        <f>VLOOKUP(A231,#REF!,22,0)</f>
        <v>#REF!</v>
      </c>
    </row>
    <row r="232">
      <c r="A232">
        <v>341</v>
      </c>
      <c r="B232" t="str">
        <v>JENNY ANDREA CABRERA ACERO</v>
      </c>
      <c r="J232">
        <v>0</v>
      </c>
      <c r="N232" t="str">
        <f>VLOOKUP(B232,Hoja1!$B$1:$C$25,2,0)</f>
        <v>LEONARDO PINZON URIBE</v>
      </c>
      <c r="O232" t="str">
        <f>VLOOKUP(A232,#REF!,22,0)</f>
        <v>#REF!</v>
      </c>
    </row>
    <row r="233">
      <c r="A233">
        <v>2</v>
      </c>
      <c r="B233" t="str">
        <v>JONATHAN KIN ACOSTA MUÑOZ</v>
      </c>
      <c r="C233" t="str">
        <v>NO</v>
      </c>
      <c r="D233">
        <v>183</v>
      </c>
      <c r="E233">
        <v>81</v>
      </c>
      <c r="F233">
        <v>16</v>
      </c>
      <c r="G233">
        <v>0</v>
      </c>
      <c r="H233">
        <v>248</v>
      </c>
      <c r="I233">
        <v>528</v>
      </c>
      <c r="J233">
        <v>95</v>
      </c>
      <c r="K233">
        <v>2</v>
      </c>
      <c r="L233">
        <f>I233-J233</f>
        <v>433</v>
      </c>
      <c r="M233">
        <v>45016</v>
      </c>
      <c r="N233" t="str">
        <f>VLOOKUP(B233,Hoja1!$B$1:$C$25,2,0)</f>
        <v>LEONARDO PINZON URIBE</v>
      </c>
      <c r="O233" t="str">
        <f>VLOOKUP(A233,#REF!,22,0)</f>
        <v>#REF!</v>
      </c>
    </row>
    <row r="234">
      <c r="A234">
        <v>4</v>
      </c>
      <c r="B234" t="str">
        <v>JONATHAN KIN ACOSTA MUÑOZ</v>
      </c>
      <c r="C234" t="str">
        <v>NO</v>
      </c>
      <c r="D234">
        <v>75</v>
      </c>
      <c r="E234">
        <v>14</v>
      </c>
      <c r="F234">
        <v>89</v>
      </c>
      <c r="G234">
        <v>0</v>
      </c>
      <c r="H234">
        <v>0</v>
      </c>
      <c r="I234">
        <v>178</v>
      </c>
      <c r="J234">
        <v>0</v>
      </c>
      <c r="K234">
        <v>1</v>
      </c>
      <c r="L234">
        <f>I234-J234</f>
        <v>178</v>
      </c>
      <c r="M234">
        <v>45000</v>
      </c>
      <c r="N234" t="str">
        <f>VLOOKUP(B234,Hoja1!$B$1:$C$25,2,0)</f>
        <v>LEONARDO PINZON URIBE</v>
      </c>
      <c r="O234" t="str">
        <f>VLOOKUP(A234,#REF!,22,0)</f>
        <v>#REF!</v>
      </c>
    </row>
    <row r="235">
      <c r="A235">
        <v>14</v>
      </c>
      <c r="B235" t="str">
        <v>JONATHAN KIN ACOSTA MUÑOZ</v>
      </c>
      <c r="C235" t="str">
        <v>NO</v>
      </c>
      <c r="D235">
        <v>56</v>
      </c>
      <c r="E235">
        <v>107</v>
      </c>
      <c r="F235">
        <v>0</v>
      </c>
      <c r="G235">
        <v>0</v>
      </c>
      <c r="H235">
        <v>0</v>
      </c>
      <c r="I235">
        <v>163</v>
      </c>
      <c r="J235">
        <v>0</v>
      </c>
      <c r="K235">
        <v>1</v>
      </c>
      <c r="L235">
        <f>I235-J235</f>
        <v>163</v>
      </c>
      <c r="M235">
        <v>45000</v>
      </c>
      <c r="N235" t="str">
        <f>VLOOKUP(B235,Hoja1!$B$1:$C$25,2,0)</f>
        <v>LEONARDO PINZON URIBE</v>
      </c>
      <c r="O235" t="str">
        <f>VLOOKUP(A235,#REF!,22,0)</f>
        <v>#REF!</v>
      </c>
    </row>
    <row r="236">
      <c r="A236">
        <v>16</v>
      </c>
      <c r="B236" t="str">
        <v>JONATHAN KIN ACOSTA MUÑOZ</v>
      </c>
      <c r="C236" t="str">
        <v>NO</v>
      </c>
      <c r="D236" t="e">
        <v>#N/A</v>
      </c>
      <c r="E236" t="e">
        <v>#N/A</v>
      </c>
      <c r="F236">
        <v>0</v>
      </c>
      <c r="G236">
        <v>0</v>
      </c>
      <c r="H236">
        <v>0</v>
      </c>
      <c r="I236" t="e">
        <v>#N/A</v>
      </c>
      <c r="J236">
        <v>0</v>
      </c>
      <c r="K236">
        <v>0</v>
      </c>
      <c r="L236" t="str">
        <v>N/A</v>
      </c>
      <c r="N236" t="str">
        <f>VLOOKUP(B236,Hoja1!$B$1:$C$25,2,0)</f>
        <v>LEONARDO PINZON URIBE</v>
      </c>
      <c r="O236" t="str">
        <f>VLOOKUP(A236,#REF!,22,0)</f>
        <v>#REF!</v>
      </c>
    </row>
    <row r="237">
      <c r="A237">
        <v>17</v>
      </c>
      <c r="B237" t="str">
        <v>JONATHAN KIN ACOSTA MUÑOZ</v>
      </c>
      <c r="C237" t="str">
        <v>NO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</v>
      </c>
      <c r="L237">
        <f>I237-J237</f>
        <v>0</v>
      </c>
      <c r="N237" t="str">
        <f>VLOOKUP(B237,Hoja1!$B$1:$C$25,2,0)</f>
        <v>LEONARDO PINZON URIBE</v>
      </c>
      <c r="O237" t="str">
        <f>VLOOKUP(A237,#REF!,22,0)</f>
        <v>#REF!</v>
      </c>
    </row>
    <row r="238">
      <c r="A238">
        <v>50</v>
      </c>
      <c r="B238" t="str">
        <v>JONATHAN KIN ACOSTA MUÑOZ</v>
      </c>
      <c r="C238" t="str">
        <v>NO</v>
      </c>
      <c r="D238">
        <v>206</v>
      </c>
      <c r="E238">
        <v>21</v>
      </c>
      <c r="F238">
        <v>220</v>
      </c>
      <c r="G238">
        <v>0</v>
      </c>
      <c r="H238">
        <v>7</v>
      </c>
      <c r="I238">
        <v>454</v>
      </c>
      <c r="J238">
        <v>0</v>
      </c>
      <c r="K238">
        <v>1</v>
      </c>
      <c r="L238">
        <f>I238-J238</f>
        <v>454</v>
      </c>
      <c r="M238">
        <v>45016</v>
      </c>
      <c r="N238" t="str">
        <f>VLOOKUP(B238,Hoja1!$B$1:$C$25,2,0)</f>
        <v>LEONARDO PINZON URIBE</v>
      </c>
      <c r="O238" t="str">
        <f>VLOOKUP(A238,#REF!,22,0)</f>
        <v>#REF!</v>
      </c>
    </row>
    <row r="239">
      <c r="A239">
        <v>219</v>
      </c>
      <c r="B239" t="str">
        <v>JONATHAN KIN ACOSTA MUÑOZ</v>
      </c>
      <c r="C239" t="str">
        <v>NO</v>
      </c>
      <c r="D239">
        <v>31</v>
      </c>
      <c r="E239">
        <v>49</v>
      </c>
      <c r="F239">
        <v>0</v>
      </c>
      <c r="G239">
        <v>0</v>
      </c>
      <c r="H239">
        <v>0</v>
      </c>
      <c r="I239">
        <v>80</v>
      </c>
      <c r="J239">
        <v>0</v>
      </c>
      <c r="K239">
        <v>0</v>
      </c>
      <c r="L239">
        <f>I239-J239</f>
        <v>80</v>
      </c>
      <c r="M239">
        <v>44985</v>
      </c>
      <c r="N239" t="str">
        <f>VLOOKUP(B239,Hoja1!$B$1:$C$25,2,0)</f>
        <v>LEONARDO PINZON URIBE</v>
      </c>
      <c r="O239" t="str">
        <f>VLOOKUP(A239,#REF!,22,0)</f>
        <v>#REF!</v>
      </c>
    </row>
    <row r="240">
      <c r="A240">
        <v>267</v>
      </c>
      <c r="B240" t="str">
        <v>JONATHAN KIN ACOSTA MUÑOZ</v>
      </c>
      <c r="C240" t="str">
        <v>SI</v>
      </c>
      <c r="D240">
        <v>0</v>
      </c>
      <c r="E240">
        <v>25</v>
      </c>
      <c r="F240">
        <v>0</v>
      </c>
      <c r="G240">
        <v>0</v>
      </c>
      <c r="H240">
        <v>0</v>
      </c>
      <c r="I240">
        <v>25</v>
      </c>
      <c r="J240">
        <v>0</v>
      </c>
      <c r="K240">
        <v>0</v>
      </c>
      <c r="L240">
        <v>0</v>
      </c>
      <c r="N240" t="str">
        <f>VLOOKUP(B240,Hoja1!$B$1:$C$25,2,0)</f>
        <v>LEONARDO PINZON URIBE</v>
      </c>
      <c r="O240" t="str">
        <f>VLOOKUP(A240,#REF!,22,0)</f>
        <v>#REF!</v>
      </c>
    </row>
    <row r="241">
      <c r="A241">
        <v>293</v>
      </c>
      <c r="B241" t="str">
        <v>JONATHAN KIN ACOSTA MUÑOZ</v>
      </c>
      <c r="C241" t="str">
        <v>CERRADA</v>
      </c>
      <c r="D241" t="e">
        <v>#N/A</v>
      </c>
      <c r="E241" t="e">
        <v>#N/A</v>
      </c>
      <c r="F241">
        <v>0</v>
      </c>
      <c r="G241">
        <v>0</v>
      </c>
      <c r="H241">
        <v>0</v>
      </c>
      <c r="I241" t="e">
        <v>#N/A</v>
      </c>
      <c r="J241">
        <v>0</v>
      </c>
      <c r="K241">
        <v>0</v>
      </c>
      <c r="L241">
        <v>0</v>
      </c>
      <c r="N241" t="str">
        <f>VLOOKUP(B241,Hoja1!$B$1:$C$25,2,0)</f>
        <v>LEONARDO PINZON URIBE</v>
      </c>
      <c r="O241" t="str">
        <f>VLOOKUP(A241,#REF!,22,0)</f>
        <v>#REF!</v>
      </c>
    </row>
    <row r="242">
      <c r="A242">
        <v>295</v>
      </c>
      <c r="B242" t="str">
        <v>JONATHAN KIN ACOSTA MUÑOZ</v>
      </c>
      <c r="C242" t="str">
        <v>SI</v>
      </c>
      <c r="D242">
        <v>154</v>
      </c>
      <c r="E242">
        <v>1</v>
      </c>
      <c r="F242">
        <v>145</v>
      </c>
      <c r="G242">
        <v>0</v>
      </c>
      <c r="H242">
        <v>10</v>
      </c>
      <c r="I242">
        <v>310</v>
      </c>
      <c r="J242">
        <v>0</v>
      </c>
      <c r="K242">
        <v>0</v>
      </c>
      <c r="L242">
        <f>I242-J242</f>
        <v>310</v>
      </c>
      <c r="M242">
        <v>45046</v>
      </c>
      <c r="N242" t="str">
        <f>VLOOKUP(B242,Hoja1!$B$1:$C$25,2,0)</f>
        <v>LEONARDO PINZON URIBE</v>
      </c>
      <c r="O242" t="str">
        <f>VLOOKUP(A242,#REF!,22,0)</f>
        <v>#REF!</v>
      </c>
    </row>
    <row r="243">
      <c r="A243">
        <v>304</v>
      </c>
      <c r="B243" t="str">
        <v>JONATHAN KIN ACOSTA MUÑOZ</v>
      </c>
      <c r="C243" t="str">
        <v>NO</v>
      </c>
      <c r="D243">
        <v>76</v>
      </c>
      <c r="E243">
        <v>37</v>
      </c>
      <c r="F243">
        <v>102</v>
      </c>
      <c r="G243">
        <v>0</v>
      </c>
      <c r="H243">
        <v>11</v>
      </c>
      <c r="I243">
        <v>226</v>
      </c>
      <c r="J243">
        <v>0</v>
      </c>
      <c r="K243">
        <v>1</v>
      </c>
      <c r="L243">
        <f>I243-J243</f>
        <v>226</v>
      </c>
      <c r="M243">
        <v>45000</v>
      </c>
      <c r="N243" t="str">
        <f>VLOOKUP(B243,Hoja1!$B$1:$C$25,2,0)</f>
        <v>LEONARDO PINZON URIBE</v>
      </c>
      <c r="O243" t="str">
        <f>VLOOKUP(A243,#REF!,22,0)</f>
        <v>#REF!</v>
      </c>
    </row>
    <row r="244">
      <c r="A244">
        <v>307</v>
      </c>
      <c r="B244" t="str">
        <v>JONATHAN KIN ACOSTA MUÑOZ</v>
      </c>
      <c r="C244" t="str">
        <v>SI</v>
      </c>
      <c r="D244">
        <v>51</v>
      </c>
      <c r="E244">
        <v>54</v>
      </c>
      <c r="F244">
        <v>105</v>
      </c>
      <c r="G244">
        <v>0</v>
      </c>
      <c r="H244">
        <v>0</v>
      </c>
      <c r="I244">
        <v>210</v>
      </c>
      <c r="J244">
        <v>0</v>
      </c>
      <c r="K244">
        <v>0</v>
      </c>
      <c r="L244">
        <v>1</v>
      </c>
      <c r="N244" t="str">
        <f>VLOOKUP(B244,Hoja1!$B$1:$C$25,2,0)</f>
        <v>LEONARDO PINZON URIBE</v>
      </c>
      <c r="O244" t="str">
        <f>VLOOKUP(A244,#REF!,22,0)</f>
        <v>#REF!</v>
      </c>
    </row>
    <row r="245">
      <c r="A245" t="str">
        <v>2A</v>
      </c>
      <c r="B245" t="str">
        <v>JONATHAN KIN ACOSTA MUÑOZ</v>
      </c>
      <c r="C245" t="str">
        <v>NO</v>
      </c>
      <c r="D245">
        <v>569</v>
      </c>
      <c r="E245">
        <v>87</v>
      </c>
      <c r="F245">
        <v>0</v>
      </c>
      <c r="G245">
        <v>0</v>
      </c>
      <c r="H245">
        <v>0</v>
      </c>
      <c r="I245">
        <v>656</v>
      </c>
      <c r="J245">
        <v>0</v>
      </c>
      <c r="K245">
        <v>4</v>
      </c>
      <c r="L245">
        <f>I245-J245</f>
        <v>656</v>
      </c>
      <c r="M245">
        <v>45016</v>
      </c>
      <c r="N245" t="str">
        <f>VLOOKUP(B245,Hoja1!$B$1:$C$25,2,0)</f>
        <v>LEONARDO PINZON URIBE</v>
      </c>
      <c r="O245" t="str">
        <f>VLOOKUP(A245,#REF!,22,0)</f>
        <v>#REF!</v>
      </c>
    </row>
    <row r="246">
      <c r="A246" t="str">
        <v>2B</v>
      </c>
      <c r="B246" t="str">
        <v>JONATHAN KIN ACOSTA MUÑOZ</v>
      </c>
      <c r="C246" t="str">
        <v>NO</v>
      </c>
      <c r="D246">
        <v>116</v>
      </c>
      <c r="E246">
        <v>69</v>
      </c>
      <c r="F246">
        <v>0</v>
      </c>
      <c r="G246">
        <v>0</v>
      </c>
      <c r="H246">
        <v>0</v>
      </c>
      <c r="I246">
        <v>185</v>
      </c>
      <c r="J246">
        <v>0</v>
      </c>
      <c r="K246">
        <v>2</v>
      </c>
      <c r="L246">
        <f>I246-J246</f>
        <v>185</v>
      </c>
      <c r="M246">
        <v>45000</v>
      </c>
      <c r="N246" t="str">
        <f>VLOOKUP(B246,Hoja1!$B$1:$C$25,2,0)</f>
        <v>LEONARDO PINZON URIBE</v>
      </c>
      <c r="O246" t="str">
        <f>VLOOKUP(A246,#REF!,22,0)</f>
        <v>#REF!</v>
      </c>
    </row>
    <row r="247">
      <c r="A247" t="str">
        <v>2C</v>
      </c>
      <c r="B247" t="str">
        <v>JONATHAN KIN ACOSTA MUÑOZ</v>
      </c>
      <c r="C247" t="str">
        <v>NO</v>
      </c>
      <c r="D247">
        <v>307</v>
      </c>
      <c r="E247">
        <v>467</v>
      </c>
      <c r="F247">
        <v>586</v>
      </c>
      <c r="G247">
        <v>0</v>
      </c>
      <c r="H247">
        <v>188</v>
      </c>
      <c r="I247">
        <v>1548</v>
      </c>
      <c r="J247">
        <v>0</v>
      </c>
      <c r="K247">
        <v>3</v>
      </c>
      <c r="L247">
        <f>I247-J247</f>
        <v>1548</v>
      </c>
      <c r="M247">
        <v>45046</v>
      </c>
      <c r="N247" t="str">
        <f>VLOOKUP(B247,Hoja1!$B$1:$C$25,2,0)</f>
        <v>LEONARDO PINZON URIBE</v>
      </c>
      <c r="O247" t="str">
        <f>VLOOKUP(A247,#REF!,22,0)</f>
        <v>#REF!</v>
      </c>
    </row>
    <row r="248">
      <c r="A248">
        <v>59</v>
      </c>
      <c r="B248" t="str">
        <v>MILENA KARINA CUBILLOS AVILA</v>
      </c>
      <c r="C248" t="str">
        <v>NO</v>
      </c>
      <c r="D248">
        <v>189</v>
      </c>
      <c r="E248">
        <v>57</v>
      </c>
      <c r="F248">
        <v>0</v>
      </c>
      <c r="G248">
        <v>0</v>
      </c>
      <c r="H248">
        <v>0</v>
      </c>
      <c r="I248">
        <v>246</v>
      </c>
      <c r="J248">
        <v>51</v>
      </c>
      <c r="K248">
        <v>2</v>
      </c>
      <c r="L248">
        <f>I248-J248</f>
        <v>195</v>
      </c>
      <c r="M248">
        <v>44985</v>
      </c>
      <c r="N248" t="str">
        <f>VLOOKUP(B248,Hoja1!$B$1:$C$25,2,0)</f>
        <v>EDGAR JAVIER CASTAÑEDA GIL</v>
      </c>
      <c r="O248" t="str">
        <f>VLOOKUP(A248,#REF!,22,0)</f>
        <v>#REF!</v>
      </c>
    </row>
    <row r="249">
      <c r="A249">
        <v>60</v>
      </c>
      <c r="B249" t="str">
        <v>MILENA KARINA CUBILLOS AVILA</v>
      </c>
      <c r="C249" t="str">
        <v>NO</v>
      </c>
      <c r="D249">
        <v>30</v>
      </c>
      <c r="E249">
        <v>1</v>
      </c>
      <c r="F249">
        <v>0</v>
      </c>
      <c r="G249">
        <v>0</v>
      </c>
      <c r="H249">
        <v>0</v>
      </c>
      <c r="I249">
        <v>31</v>
      </c>
      <c r="J249">
        <v>46</v>
      </c>
      <c r="K249">
        <v>1</v>
      </c>
      <c r="L249">
        <f>I249-J249</f>
        <v>-15</v>
      </c>
      <c r="N249" t="str">
        <f>VLOOKUP(B249,Hoja1!$B$1:$C$25,2,0)</f>
        <v>EDGAR JAVIER CASTAÑEDA GIL</v>
      </c>
      <c r="O249" t="str">
        <f>VLOOKUP(A249,#REF!,22,0)</f>
        <v>#REF!</v>
      </c>
    </row>
    <row r="250">
      <c r="A250">
        <v>131</v>
      </c>
      <c r="B250" t="str">
        <v>MILENA KARINA CUBILLOS AVILA</v>
      </c>
      <c r="C250" t="str">
        <v>NO</v>
      </c>
      <c r="D250">
        <v>286</v>
      </c>
      <c r="E250">
        <v>139</v>
      </c>
      <c r="F250">
        <v>0</v>
      </c>
      <c r="G250">
        <v>0</v>
      </c>
      <c r="H250">
        <v>0</v>
      </c>
      <c r="I250">
        <v>425</v>
      </c>
      <c r="J250">
        <v>0</v>
      </c>
      <c r="K250">
        <v>3</v>
      </c>
      <c r="L250">
        <f>I250-J250</f>
        <v>425</v>
      </c>
      <c r="M250">
        <v>45000</v>
      </c>
      <c r="N250" t="str">
        <f>VLOOKUP(B250,Hoja1!$B$1:$C$25,2,0)</f>
        <v>EDGAR JAVIER CASTAÑEDA GIL</v>
      </c>
      <c r="O250" t="str">
        <f>VLOOKUP(A250,#REF!,22,0)</f>
        <v>#REF!</v>
      </c>
    </row>
    <row r="251">
      <c r="A251">
        <v>132</v>
      </c>
      <c r="B251" t="str">
        <v>MILENA KARINA CUBILLOS AVILA</v>
      </c>
      <c r="C251" t="str">
        <v>NO</v>
      </c>
      <c r="D251">
        <v>102</v>
      </c>
      <c r="E251">
        <v>30</v>
      </c>
      <c r="F251">
        <v>0</v>
      </c>
      <c r="G251">
        <v>0</v>
      </c>
      <c r="H251">
        <v>0</v>
      </c>
      <c r="I251">
        <v>132</v>
      </c>
      <c r="J251">
        <v>6</v>
      </c>
      <c r="K251">
        <v>1</v>
      </c>
      <c r="L251">
        <f>I251-J251</f>
        <v>126</v>
      </c>
      <c r="M251">
        <v>44985</v>
      </c>
      <c r="N251" t="str">
        <f>VLOOKUP(B251,Hoja1!$B$1:$C$25,2,0)</f>
        <v>EDGAR JAVIER CASTAÑEDA GIL</v>
      </c>
      <c r="O251" t="str">
        <f>VLOOKUP(A251,#REF!,22,0)</f>
        <v>#REF!</v>
      </c>
    </row>
    <row r="252">
      <c r="A252">
        <v>138</v>
      </c>
      <c r="B252" t="str">
        <v>MILENA KARINA CUBILLOS AVILA</v>
      </c>
      <c r="C252" t="str">
        <v>NO</v>
      </c>
      <c r="D252">
        <v>34</v>
      </c>
      <c r="E252">
        <v>60</v>
      </c>
      <c r="F252">
        <v>0</v>
      </c>
      <c r="G252">
        <v>0</v>
      </c>
      <c r="H252">
        <v>0</v>
      </c>
      <c r="I252">
        <v>94</v>
      </c>
      <c r="J252">
        <v>5</v>
      </c>
      <c r="K252">
        <v>1</v>
      </c>
      <c r="L252">
        <f>I252-J252</f>
        <v>89</v>
      </c>
      <c r="M252">
        <v>44985</v>
      </c>
      <c r="N252" t="str">
        <f>VLOOKUP(B252,Hoja1!$B$1:$C$25,2,0)</f>
        <v>EDGAR JAVIER CASTAÑEDA GIL</v>
      </c>
      <c r="O252" t="str">
        <f>VLOOKUP(A252,#REF!,22,0)</f>
        <v>#REF!</v>
      </c>
    </row>
    <row r="253">
      <c r="A253">
        <v>197</v>
      </c>
      <c r="B253" t="str">
        <v>MILENA KARINA CUBILLOS AVILA</v>
      </c>
      <c r="C253" t="str">
        <v>NO</v>
      </c>
      <c r="D253">
        <v>368</v>
      </c>
      <c r="E253">
        <v>142</v>
      </c>
      <c r="F253">
        <v>0</v>
      </c>
      <c r="G253">
        <v>0</v>
      </c>
      <c r="H253">
        <v>0</v>
      </c>
      <c r="I253">
        <v>510</v>
      </c>
      <c r="J253">
        <v>78</v>
      </c>
      <c r="K253">
        <v>3</v>
      </c>
      <c r="L253">
        <f>I253-J253</f>
        <v>432</v>
      </c>
      <c r="M253">
        <v>45000</v>
      </c>
      <c r="N253" t="str">
        <f>VLOOKUP(B253,Hoja1!$B$1:$C$25,2,0)</f>
        <v>EDGAR JAVIER CASTAÑEDA GIL</v>
      </c>
      <c r="O253" t="str">
        <f>VLOOKUP(A253,#REF!,22,0)</f>
        <v>#REF!</v>
      </c>
    </row>
    <row r="254">
      <c r="A254">
        <v>232</v>
      </c>
      <c r="B254" t="str">
        <v>MILENA KARINA CUBILLOS AVILA</v>
      </c>
      <c r="C254" t="str">
        <v>SI</v>
      </c>
      <c r="D254">
        <v>16</v>
      </c>
      <c r="E254">
        <v>11</v>
      </c>
      <c r="F254">
        <v>0</v>
      </c>
      <c r="G254">
        <v>0</v>
      </c>
      <c r="H254">
        <v>0</v>
      </c>
      <c r="I254">
        <v>27</v>
      </c>
      <c r="J254">
        <v>0</v>
      </c>
      <c r="K254">
        <v>0</v>
      </c>
      <c r="L254">
        <f>I254-J254</f>
        <v>27</v>
      </c>
      <c r="M254">
        <v>44985</v>
      </c>
      <c r="N254" t="str">
        <f>VLOOKUP(B254,Hoja1!$B$1:$C$25,2,0)</f>
        <v>EDGAR JAVIER CASTAÑEDA GIL</v>
      </c>
      <c r="O254" t="str">
        <f>VLOOKUP(A254,#REF!,22,0)</f>
        <v>#REF!</v>
      </c>
    </row>
    <row r="255">
      <c r="A255">
        <v>246</v>
      </c>
      <c r="B255" t="str">
        <v>MILENA KARINA CUBILLOS AVILA</v>
      </c>
      <c r="C255" t="str">
        <v>NO</v>
      </c>
      <c r="D255">
        <v>3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2</v>
      </c>
      <c r="K255">
        <v>0</v>
      </c>
      <c r="L255">
        <f>I255-J255</f>
        <v>1</v>
      </c>
      <c r="M255">
        <v>44985</v>
      </c>
      <c r="N255" t="str">
        <f>VLOOKUP(B255,Hoja1!$B$1:$C$25,2,0)</f>
        <v>EDGAR JAVIER CASTAÑEDA GIL</v>
      </c>
      <c r="O255" t="str">
        <f>VLOOKUP(A255,#REF!,22,0)</f>
        <v>#REF!</v>
      </c>
    </row>
    <row r="256">
      <c r="A256" t="str">
        <v>132A</v>
      </c>
      <c r="B256" t="str">
        <v>MILENA KARINA CUBILLOS AVILA</v>
      </c>
      <c r="C256" t="str">
        <v>NO</v>
      </c>
      <c r="D256">
        <v>333</v>
      </c>
      <c r="E256">
        <v>293</v>
      </c>
      <c r="F256">
        <v>0</v>
      </c>
      <c r="G256">
        <v>0</v>
      </c>
      <c r="H256">
        <v>0</v>
      </c>
      <c r="I256">
        <v>626</v>
      </c>
      <c r="J256">
        <v>38</v>
      </c>
      <c r="K256">
        <v>3</v>
      </c>
      <c r="L256">
        <f>I256-J256</f>
        <v>588</v>
      </c>
      <c r="M256">
        <v>45000</v>
      </c>
      <c r="N256" t="str">
        <f>VLOOKUP(B256,Hoja1!$B$1:$C$25,2,0)</f>
        <v>EDGAR JAVIER CASTAÑEDA GIL</v>
      </c>
      <c r="O256" t="str">
        <f>VLOOKUP(A256,#REF!,22,0)</f>
        <v>#REF!</v>
      </c>
    </row>
    <row r="257">
      <c r="A257" t="str">
        <v>59A</v>
      </c>
      <c r="B257" t="str">
        <v>MILENA KARINA CUBILLOS AVILA</v>
      </c>
      <c r="C257" t="str">
        <v>NO</v>
      </c>
      <c r="D257">
        <v>135</v>
      </c>
      <c r="E257">
        <v>240</v>
      </c>
      <c r="F257">
        <v>0</v>
      </c>
      <c r="G257">
        <v>0</v>
      </c>
      <c r="H257">
        <v>0</v>
      </c>
      <c r="I257">
        <v>375</v>
      </c>
      <c r="J257">
        <v>0</v>
      </c>
      <c r="K257">
        <v>2</v>
      </c>
      <c r="L257">
        <f>I257-J257</f>
        <v>375</v>
      </c>
      <c r="M257">
        <v>45000</v>
      </c>
      <c r="N257" t="str">
        <f>VLOOKUP(B257,Hoja1!$B$1:$C$25,2,0)</f>
        <v>EDGAR JAVIER CASTAÑEDA GIL</v>
      </c>
      <c r="O257" t="str">
        <f>VLOOKUP(A257,#REF!,22,0)</f>
        <v>#REF!</v>
      </c>
    </row>
    <row r="258">
      <c r="A258" t="str">
        <v>59B</v>
      </c>
      <c r="B258" t="str">
        <v>MILENA KARINA CUBILLOS AVILA</v>
      </c>
      <c r="C258" t="str">
        <v>NO</v>
      </c>
      <c r="D258">
        <v>290</v>
      </c>
      <c r="E258">
        <v>190</v>
      </c>
      <c r="F258">
        <v>0</v>
      </c>
      <c r="G258">
        <v>0</v>
      </c>
      <c r="H258">
        <v>0</v>
      </c>
      <c r="I258">
        <v>480</v>
      </c>
      <c r="J258">
        <v>0</v>
      </c>
      <c r="K258">
        <v>3</v>
      </c>
      <c r="L258">
        <f>I258-J258</f>
        <v>480</v>
      </c>
      <c r="M258">
        <v>44985</v>
      </c>
      <c r="N258" t="str">
        <f>VLOOKUP(B258,Hoja1!$B$1:$C$25,2,0)</f>
        <v>EDGAR JAVIER CASTAÑEDA GIL</v>
      </c>
      <c r="O258" t="str">
        <f>VLOOKUP(A258,#REF!,22,0)</f>
        <v>#REF!</v>
      </c>
    </row>
    <row r="259">
      <c r="A259" t="str">
        <v>59C</v>
      </c>
      <c r="B259" t="str">
        <v>MILENA KARINA CUBILLOS AVILA</v>
      </c>
      <c r="C259" t="str">
        <v>NO</v>
      </c>
      <c r="D259">
        <v>210</v>
      </c>
      <c r="E259">
        <v>155</v>
      </c>
      <c r="F259">
        <v>0</v>
      </c>
      <c r="G259">
        <v>0</v>
      </c>
      <c r="H259">
        <v>0</v>
      </c>
      <c r="I259">
        <v>365</v>
      </c>
      <c r="J259">
        <v>320</v>
      </c>
      <c r="K259">
        <v>2</v>
      </c>
      <c r="L259">
        <f>I259-J259</f>
        <v>45</v>
      </c>
      <c r="M259">
        <v>44985</v>
      </c>
      <c r="N259" t="str">
        <f>VLOOKUP(B259,Hoja1!$B$1:$C$25,2,0)</f>
        <v>EDGAR JAVIER CASTAÑEDA GIL</v>
      </c>
      <c r="O259" t="str">
        <f>VLOOKUP(A259,#REF!,22,0)</f>
        <v>#REF!</v>
      </c>
    </row>
    <row r="260">
      <c r="A260" t="str">
        <v>59D</v>
      </c>
      <c r="B260" t="str">
        <v>MILENA KARINA CUBILLOS AVILA</v>
      </c>
      <c r="C260" t="str">
        <v>NO</v>
      </c>
      <c r="D260">
        <v>239</v>
      </c>
      <c r="E260">
        <v>85</v>
      </c>
      <c r="F260">
        <v>0</v>
      </c>
      <c r="G260">
        <v>0</v>
      </c>
      <c r="H260">
        <v>0</v>
      </c>
      <c r="I260">
        <v>324</v>
      </c>
      <c r="J260">
        <v>500</v>
      </c>
      <c r="K260">
        <v>2</v>
      </c>
      <c r="L260">
        <f>I260-J260</f>
        <v>-176</v>
      </c>
      <c r="N260" t="str">
        <f>VLOOKUP(B260,Hoja1!$B$1:$C$25,2,0)</f>
        <v>EDGAR JAVIER CASTAÑEDA GIL</v>
      </c>
      <c r="O260" t="str">
        <f>VLOOKUP(A260,#REF!,22,0)</f>
        <v>#REF!</v>
      </c>
    </row>
    <row r="261">
      <c r="A261">
        <v>330</v>
      </c>
      <c r="B261" t="str">
        <v>MILENA KARINA CUBILLOS AVILA</v>
      </c>
      <c r="J261">
        <v>56</v>
      </c>
      <c r="L261">
        <f>I261-J261</f>
        <v>-56</v>
      </c>
      <c r="N261" t="str">
        <f>VLOOKUP(B261,Hoja1!$B$1:$C$25,2,0)</f>
        <v>EDGAR JAVIER CASTAÑEDA GIL</v>
      </c>
      <c r="O261" t="str">
        <f>VLOOKUP(A261,#REF!,22,0)</f>
        <v>#REF!</v>
      </c>
    </row>
    <row r="262">
      <c r="A262">
        <v>65</v>
      </c>
      <c r="B262" t="str">
        <v>JULIAN LEONARDO GARCIA GARZON</v>
      </c>
      <c r="C262" t="str">
        <v>NO</v>
      </c>
      <c r="D262">
        <v>65</v>
      </c>
      <c r="E262">
        <v>49</v>
      </c>
      <c r="F262">
        <v>35</v>
      </c>
      <c r="G262">
        <v>85</v>
      </c>
      <c r="H262">
        <v>114</v>
      </c>
      <c r="I262">
        <v>348</v>
      </c>
      <c r="J262">
        <v>136</v>
      </c>
      <c r="K262">
        <v>2</v>
      </c>
      <c r="L262">
        <f>I262-J262</f>
        <v>212</v>
      </c>
      <c r="M262">
        <v>45000</v>
      </c>
      <c r="N262" t="str">
        <f>VLOOKUP(B262,Hoja1!$B$1:$C$25,2,0)</f>
        <v>EDGAR JAVIER CASTAÑEDA GIL</v>
      </c>
      <c r="O262" t="str">
        <f>VLOOKUP(A262,#REF!,22,0)</f>
        <v>#REF!</v>
      </c>
    </row>
    <row r="263">
      <c r="A263">
        <v>66</v>
      </c>
      <c r="B263" t="str">
        <v>JULIAN LEONARDO GARCIA GARZON</v>
      </c>
      <c r="C263" t="str">
        <v>NO</v>
      </c>
      <c r="D263">
        <v>272</v>
      </c>
      <c r="E263">
        <v>130</v>
      </c>
      <c r="F263">
        <v>320</v>
      </c>
      <c r="G263">
        <v>290</v>
      </c>
      <c r="H263">
        <v>135</v>
      </c>
      <c r="I263">
        <v>1147</v>
      </c>
      <c r="J263">
        <v>359</v>
      </c>
      <c r="K263">
        <v>5</v>
      </c>
      <c r="L263">
        <f>I263-J263</f>
        <v>788</v>
      </c>
      <c r="M263">
        <v>45016</v>
      </c>
      <c r="N263" t="str">
        <f>VLOOKUP(B263,Hoja1!$B$1:$C$25,2,0)</f>
        <v>EDGAR JAVIER CASTAÑEDA GIL</v>
      </c>
      <c r="O263" t="str">
        <f>VLOOKUP(A263,#REF!,22,0)</f>
        <v>#REF!</v>
      </c>
    </row>
    <row r="264">
      <c r="A264">
        <v>67</v>
      </c>
      <c r="B264" t="str">
        <v>JULIAN LEONARDO GARCIA GARZON</v>
      </c>
      <c r="C264" t="str">
        <v>NO</v>
      </c>
      <c r="D264">
        <v>50</v>
      </c>
      <c r="E264">
        <v>103</v>
      </c>
      <c r="F264">
        <v>37</v>
      </c>
      <c r="G264">
        <v>108</v>
      </c>
      <c r="H264">
        <v>8</v>
      </c>
      <c r="I264">
        <v>306</v>
      </c>
      <c r="J264">
        <v>0</v>
      </c>
      <c r="K264">
        <v>1</v>
      </c>
      <c r="L264">
        <f>I264-J264</f>
        <v>306</v>
      </c>
      <c r="M264">
        <v>45016</v>
      </c>
      <c r="N264" t="str">
        <f>VLOOKUP(B264,Hoja1!$B$1:$C$25,2,0)</f>
        <v>EDGAR JAVIER CASTAÑEDA GIL</v>
      </c>
      <c r="O264" t="str">
        <f>VLOOKUP(A264,#REF!,22,0)</f>
        <v>#REF!</v>
      </c>
    </row>
    <row r="265">
      <c r="A265">
        <v>68</v>
      </c>
      <c r="B265" t="str">
        <v>JULIAN LEONARDO GARCIA GARZON</v>
      </c>
      <c r="C265" t="str">
        <v>NO</v>
      </c>
      <c r="D265">
        <v>268</v>
      </c>
      <c r="E265">
        <v>151</v>
      </c>
      <c r="F265">
        <v>1250</v>
      </c>
      <c r="G265">
        <v>591</v>
      </c>
      <c r="H265">
        <v>550</v>
      </c>
      <c r="I265">
        <v>2810</v>
      </c>
      <c r="J265">
        <v>68</v>
      </c>
      <c r="K265">
        <v>3</v>
      </c>
      <c r="L265">
        <f>I265-J265</f>
        <v>2742</v>
      </c>
      <c r="M265">
        <v>45046</v>
      </c>
      <c r="N265" t="str">
        <f>VLOOKUP(B265,Hoja1!$B$1:$C$25,2,0)</f>
        <v>EDGAR JAVIER CASTAÑEDA GIL</v>
      </c>
      <c r="O265" t="str">
        <f>VLOOKUP(A265,#REF!,22,0)</f>
        <v>#REF!</v>
      </c>
    </row>
    <row r="266">
      <c r="A266">
        <v>69</v>
      </c>
      <c r="B266" t="str">
        <v>JULIAN LEONARDO GARCIA GARZON</v>
      </c>
      <c r="C266" t="str">
        <v>SI</v>
      </c>
      <c r="D266">
        <v>39</v>
      </c>
      <c r="E266">
        <v>27</v>
      </c>
      <c r="F266">
        <v>76</v>
      </c>
      <c r="G266">
        <v>15</v>
      </c>
      <c r="H266">
        <v>25</v>
      </c>
      <c r="I266">
        <v>182</v>
      </c>
      <c r="J266">
        <v>0</v>
      </c>
      <c r="K266">
        <v>0</v>
      </c>
      <c r="L266">
        <f>I266-J266</f>
        <v>182</v>
      </c>
      <c r="M266">
        <v>45016</v>
      </c>
      <c r="N266" t="str">
        <f>VLOOKUP(B266,Hoja1!$B$1:$C$25,2,0)</f>
        <v>EDGAR JAVIER CASTAÑEDA GIL</v>
      </c>
      <c r="O266" t="str">
        <f>VLOOKUP(A266,#REF!,22,0)</f>
        <v>#REF!</v>
      </c>
    </row>
    <row r="267">
      <c r="A267">
        <v>255</v>
      </c>
      <c r="B267" t="str">
        <v>JULIAN LEONARDO GARCIA GARZON</v>
      </c>
      <c r="C267" t="str">
        <v>NO</v>
      </c>
      <c r="D267">
        <v>82</v>
      </c>
      <c r="E267">
        <v>188</v>
      </c>
      <c r="F267">
        <v>2</v>
      </c>
      <c r="G267">
        <v>15</v>
      </c>
      <c r="H267">
        <v>40</v>
      </c>
      <c r="I267">
        <v>327</v>
      </c>
      <c r="J267">
        <v>115</v>
      </c>
      <c r="K267">
        <v>1</v>
      </c>
      <c r="L267">
        <f>I267-J267</f>
        <v>212</v>
      </c>
      <c r="M267">
        <v>45000</v>
      </c>
      <c r="N267" t="str">
        <f>VLOOKUP(B267,Hoja1!$B$1:$C$25,2,0)</f>
        <v>EDGAR JAVIER CASTAÑEDA GIL</v>
      </c>
      <c r="O267" t="str">
        <f>VLOOKUP(A267,#REF!,22,0)</f>
        <v>#REF!</v>
      </c>
    </row>
    <row r="268">
      <c r="A268">
        <v>300</v>
      </c>
      <c r="B268" t="str">
        <v>JULIAN LEONARDO GARCIA GARZON</v>
      </c>
      <c r="C268" t="str">
        <v>NO</v>
      </c>
      <c r="D268">
        <v>90</v>
      </c>
      <c r="E268">
        <v>29</v>
      </c>
      <c r="F268">
        <v>50</v>
      </c>
      <c r="G268">
        <v>30</v>
      </c>
      <c r="H268">
        <v>25</v>
      </c>
      <c r="I268">
        <v>224</v>
      </c>
      <c r="J268">
        <v>39</v>
      </c>
      <c r="K268">
        <v>1</v>
      </c>
      <c r="L268">
        <f>I268-J268</f>
        <v>185</v>
      </c>
      <c r="M268">
        <v>45000</v>
      </c>
      <c r="N268" t="str">
        <f>VLOOKUP(B268,Hoja1!$B$1:$C$25,2,0)</f>
        <v>EDGAR JAVIER CASTAÑEDA GIL</v>
      </c>
      <c r="O268" t="str">
        <f>VLOOKUP(A268,#REF!,22,0)</f>
        <v>#REF!</v>
      </c>
    </row>
    <row r="269">
      <c r="A269">
        <v>319</v>
      </c>
      <c r="B269" t="str">
        <v>JULIAN LEONARDO GARCIA GARZON</v>
      </c>
      <c r="J269">
        <v>0</v>
      </c>
      <c r="N269" t="str">
        <f>VLOOKUP(B269,Hoja1!$B$1:$C$25,2,0)</f>
        <v>EDGAR JAVIER CASTAÑEDA GIL</v>
      </c>
      <c r="O269" t="str">
        <f>VLOOKUP(A269,#REF!,22,0)</f>
        <v>#REF!</v>
      </c>
    </row>
    <row r="270">
      <c r="A270">
        <v>320</v>
      </c>
      <c r="B270" t="str">
        <v>JULIAN LEONARDO GARCIA GARZON</v>
      </c>
      <c r="J270">
        <v>0</v>
      </c>
      <c r="N270" t="str">
        <f>VLOOKUP(B270,Hoja1!$B$1:$C$25,2,0)</f>
        <v>EDGAR JAVIER CASTAÑEDA GIL</v>
      </c>
      <c r="O270" t="str">
        <f>VLOOKUP(A270,#REF!,22,0)</f>
        <v>#REF!</v>
      </c>
    </row>
    <row r="271">
      <c r="A271">
        <v>321</v>
      </c>
      <c r="B271" t="str">
        <v>JULIAN LEONARDO GARCIA GARZON</v>
      </c>
      <c r="J271">
        <v>0</v>
      </c>
      <c r="N271" t="str">
        <f>VLOOKUP(B271,Hoja1!$B$1:$C$25,2,0)</f>
        <v>EDGAR JAVIER CASTAÑEDA GIL</v>
      </c>
      <c r="O271" t="str">
        <f>VLOOKUP(A271,#REF!,22,0)</f>
        <v>#REF!</v>
      </c>
    </row>
    <row r="272">
      <c r="A272">
        <v>322</v>
      </c>
      <c r="B272" t="str">
        <v>JULIAN LEONARDO GARCIA GARZON</v>
      </c>
      <c r="J272">
        <v>0</v>
      </c>
      <c r="N272" t="str">
        <f>VLOOKUP(B272,Hoja1!$B$1:$C$25,2,0)</f>
        <v>EDGAR JAVIER CASTAÑEDA GIL</v>
      </c>
      <c r="O272" t="str">
        <f>VLOOKUP(A272,#REF!,22,0)</f>
        <v>#REF!</v>
      </c>
    </row>
    <row r="273">
      <c r="A273">
        <v>342</v>
      </c>
      <c r="B273" t="str">
        <v>JULIAN LEONARDO GARCIA GARZON</v>
      </c>
      <c r="J273">
        <v>0</v>
      </c>
      <c r="N273" t="str">
        <f>VLOOKUP(B273,Hoja1!$B$1:$C$25,2,0)</f>
        <v>EDGAR JAVIER CASTAÑEDA GIL</v>
      </c>
      <c r="O273" t="str">
        <f>VLOOKUP(A273,#REF!,22,0)</f>
        <v>#REF!</v>
      </c>
    </row>
    <row r="274">
      <c r="A274" t="str">
        <v>66A</v>
      </c>
      <c r="B274" t="str">
        <v>JULIAN LEONARDO GARCIA GARZON</v>
      </c>
      <c r="C274" t="str">
        <v>NO</v>
      </c>
      <c r="D274">
        <v>262</v>
      </c>
      <c r="E274">
        <v>132</v>
      </c>
      <c r="F274">
        <v>320</v>
      </c>
      <c r="G274">
        <v>290</v>
      </c>
      <c r="H274">
        <v>140</v>
      </c>
      <c r="I274">
        <v>1144</v>
      </c>
      <c r="J274">
        <v>406</v>
      </c>
      <c r="K274">
        <v>5</v>
      </c>
      <c r="L274">
        <f>I274-J274</f>
        <v>738</v>
      </c>
      <c r="M274">
        <v>45000</v>
      </c>
      <c r="N274" t="str">
        <f>VLOOKUP(B274,Hoja1!$B$1:$C$25,2,0)</f>
        <v>EDGAR JAVIER CASTAÑEDA GIL</v>
      </c>
      <c r="O274" t="str">
        <f>VLOOKUP(A274,#REF!,22,0)</f>
        <v>#REF!</v>
      </c>
    </row>
    <row r="275">
      <c r="A275">
        <v>19</v>
      </c>
      <c r="B275" t="str">
        <v>LUIS CARLOS CALVO ARAUJO</v>
      </c>
      <c r="C275" t="str">
        <v>NO</v>
      </c>
      <c r="D275">
        <v>118</v>
      </c>
      <c r="E275">
        <v>86</v>
      </c>
      <c r="F275">
        <v>0</v>
      </c>
      <c r="G275">
        <v>0</v>
      </c>
      <c r="H275">
        <v>0</v>
      </c>
      <c r="I275">
        <v>204</v>
      </c>
      <c r="J275">
        <v>106</v>
      </c>
      <c r="K275">
        <v>1</v>
      </c>
      <c r="L275">
        <f>I275-J275</f>
        <v>98</v>
      </c>
      <c r="M275">
        <v>44985</v>
      </c>
      <c r="N275" t="str">
        <f>VLOOKUP(B275,Hoja1!$B$1:$C$25,2,0)</f>
        <v>LUISA FERNANDA MEJIA CORREA</v>
      </c>
      <c r="O275" t="str">
        <f>VLOOKUP(A275,#REF!,22,0)</f>
        <v>#REF!</v>
      </c>
    </row>
    <row r="276">
      <c r="A276">
        <v>20</v>
      </c>
      <c r="B276" t="str">
        <v>LUIS CARLOS CALVO ARAUJO</v>
      </c>
      <c r="C276" t="str">
        <v>NO</v>
      </c>
      <c r="D276">
        <v>310</v>
      </c>
      <c r="E276">
        <v>297</v>
      </c>
      <c r="F276">
        <v>0</v>
      </c>
      <c r="G276">
        <v>0</v>
      </c>
      <c r="H276">
        <v>0</v>
      </c>
      <c r="I276">
        <v>607</v>
      </c>
      <c r="J276">
        <v>134</v>
      </c>
      <c r="K276">
        <v>3</v>
      </c>
      <c r="L276">
        <f>I276-J276</f>
        <v>473</v>
      </c>
      <c r="M276">
        <v>45000</v>
      </c>
      <c r="N276" t="str">
        <f>VLOOKUP(B276,Hoja1!$B$1:$C$25,2,0)</f>
        <v>LUISA FERNANDA MEJIA CORREA</v>
      </c>
      <c r="O276" t="str">
        <f>VLOOKUP(A276,#REF!,22,0)</f>
        <v>#REF!</v>
      </c>
    </row>
    <row r="277">
      <c r="A277">
        <v>173</v>
      </c>
      <c r="B277" t="str">
        <v>LUIS CARLOS CALVO ARAUJO</v>
      </c>
      <c r="C277" t="str">
        <v>NO</v>
      </c>
      <c r="D277">
        <v>224</v>
      </c>
      <c r="E277">
        <v>43</v>
      </c>
      <c r="F277">
        <v>0</v>
      </c>
      <c r="G277">
        <v>0</v>
      </c>
      <c r="H277">
        <v>0</v>
      </c>
      <c r="I277">
        <v>267</v>
      </c>
      <c r="J277">
        <v>49</v>
      </c>
      <c r="K277">
        <v>1</v>
      </c>
      <c r="L277">
        <f>I277-J277</f>
        <v>218</v>
      </c>
      <c r="M277">
        <v>45000</v>
      </c>
      <c r="N277" t="str">
        <f>VLOOKUP(B277,Hoja1!$B$1:$C$25,2,0)</f>
        <v>LUISA FERNANDA MEJIA CORREA</v>
      </c>
      <c r="O277" t="str">
        <f>VLOOKUP(A277,#REF!,22,0)</f>
        <v>#REF!</v>
      </c>
    </row>
    <row r="278">
      <c r="A278">
        <v>174</v>
      </c>
      <c r="B278" t="str">
        <v>LUIS CARLOS CALVO ARAUJO</v>
      </c>
      <c r="C278" t="str">
        <v>NO</v>
      </c>
      <c r="D278">
        <v>56</v>
      </c>
      <c r="E278">
        <v>22</v>
      </c>
      <c r="F278">
        <v>0</v>
      </c>
      <c r="G278">
        <v>0</v>
      </c>
      <c r="H278">
        <v>0</v>
      </c>
      <c r="I278">
        <v>78</v>
      </c>
      <c r="J278">
        <v>0</v>
      </c>
      <c r="K278">
        <v>0</v>
      </c>
      <c r="L278">
        <v>0</v>
      </c>
      <c r="N278" t="str">
        <f>VLOOKUP(B278,Hoja1!$B$1:$C$25,2,0)</f>
        <v>LUISA FERNANDA MEJIA CORREA</v>
      </c>
      <c r="O278" t="str">
        <f>VLOOKUP(A278,#REF!,22,0)</f>
        <v>#REF!</v>
      </c>
    </row>
    <row r="279">
      <c r="A279">
        <v>192</v>
      </c>
      <c r="B279" t="str">
        <v>LUIS CARLOS CALVO ARAUJO</v>
      </c>
      <c r="C279" t="str">
        <v>NO</v>
      </c>
      <c r="D279">
        <v>136</v>
      </c>
      <c r="E279">
        <v>0</v>
      </c>
      <c r="F279">
        <v>0</v>
      </c>
      <c r="G279">
        <v>0</v>
      </c>
      <c r="H279">
        <v>0</v>
      </c>
      <c r="I279">
        <v>136</v>
      </c>
      <c r="J279">
        <v>0</v>
      </c>
      <c r="K279">
        <v>0</v>
      </c>
      <c r="L279">
        <v>0</v>
      </c>
      <c r="N279" t="str">
        <f>VLOOKUP(B279,Hoja1!$B$1:$C$25,2,0)</f>
        <v>LUISA FERNANDA MEJIA CORREA</v>
      </c>
      <c r="O279" t="str">
        <f>VLOOKUP(A279,#REF!,22,0)</f>
        <v>#REF!</v>
      </c>
    </row>
    <row r="280">
      <c r="A280">
        <v>198</v>
      </c>
      <c r="B280" t="str">
        <v>LUIS CARLOS CALVO ARAUJO</v>
      </c>
      <c r="C280" t="str">
        <v>NO</v>
      </c>
      <c r="D280" t="e">
        <v>#N/A</v>
      </c>
      <c r="E280" t="e">
        <v>#N/A</v>
      </c>
      <c r="F280">
        <v>0</v>
      </c>
      <c r="G280">
        <v>0</v>
      </c>
      <c r="H280">
        <v>0</v>
      </c>
      <c r="I280" t="e">
        <v>#N/A</v>
      </c>
      <c r="J280">
        <v>22</v>
      </c>
      <c r="K280">
        <v>1</v>
      </c>
      <c r="L280" t="str">
        <v>N/A</v>
      </c>
      <c r="M280">
        <v>44985</v>
      </c>
      <c r="N280" t="str">
        <f>VLOOKUP(B280,Hoja1!$B$1:$C$25,2,0)</f>
        <v>LUISA FERNANDA MEJIA CORREA</v>
      </c>
      <c r="O280" t="str">
        <f>VLOOKUP(A280,#REF!,22,0)</f>
        <v>#REF!</v>
      </c>
    </row>
    <row r="281">
      <c r="A281">
        <v>271</v>
      </c>
      <c r="B281" t="str">
        <v>LUIS CARLOS CALVO ARAUJO</v>
      </c>
      <c r="C281" t="str">
        <v>NO</v>
      </c>
      <c r="D281" t="e">
        <v>#N/A</v>
      </c>
      <c r="E281" t="e">
        <v>#N/A</v>
      </c>
      <c r="F281">
        <v>0</v>
      </c>
      <c r="G281">
        <v>0</v>
      </c>
      <c r="H281">
        <v>0</v>
      </c>
      <c r="I281" t="e">
        <v>#N/A</v>
      </c>
      <c r="J281">
        <v>51</v>
      </c>
      <c r="K281">
        <v>1</v>
      </c>
      <c r="L281" t="str">
        <v>N/A</v>
      </c>
      <c r="M281">
        <v>44985</v>
      </c>
      <c r="N281" t="str">
        <f>VLOOKUP(B281,Hoja1!$B$1:$C$25,2,0)</f>
        <v>LUISA FERNANDA MEJIA CORREA</v>
      </c>
      <c r="O281" t="str">
        <f>VLOOKUP(A281,#REF!,22,0)</f>
        <v>#REF!</v>
      </c>
    </row>
    <row r="282">
      <c r="A282">
        <v>273</v>
      </c>
      <c r="B282" t="str">
        <v>LUIS CARLOS CALVO ARAUJO</v>
      </c>
      <c r="C282" t="str">
        <v>NO</v>
      </c>
      <c r="D282" t="e">
        <v>#N/A</v>
      </c>
      <c r="E282" t="e">
        <v>#N/A</v>
      </c>
      <c r="F282">
        <v>0</v>
      </c>
      <c r="G282">
        <v>0</v>
      </c>
      <c r="H282">
        <v>0</v>
      </c>
      <c r="I282" t="e">
        <v>#N/A</v>
      </c>
      <c r="J282">
        <v>16</v>
      </c>
      <c r="K282">
        <v>1</v>
      </c>
      <c r="L282" t="str">
        <v>N/A</v>
      </c>
      <c r="M282">
        <v>44985</v>
      </c>
      <c r="N282" t="str">
        <f>VLOOKUP(B282,Hoja1!$B$1:$C$25,2,0)</f>
        <v>LUISA FERNANDA MEJIA CORREA</v>
      </c>
      <c r="O282" t="str">
        <f>VLOOKUP(A282,#REF!,22,0)</f>
        <v>#REF!</v>
      </c>
    </row>
    <row r="283">
      <c r="A283">
        <v>287</v>
      </c>
      <c r="B283" t="str">
        <v>LUIS CARLOS CALVO ARAUJO</v>
      </c>
      <c r="C283" t="str">
        <v>NO</v>
      </c>
      <c r="D283" t="e">
        <v>#N/A</v>
      </c>
      <c r="E283" t="e">
        <v>#N/A</v>
      </c>
      <c r="F283">
        <v>0</v>
      </c>
      <c r="G283">
        <v>0</v>
      </c>
      <c r="H283">
        <v>0</v>
      </c>
      <c r="I283" t="e">
        <v>#N/A</v>
      </c>
      <c r="J283">
        <v>49</v>
      </c>
      <c r="K283">
        <v>1</v>
      </c>
      <c r="L283" t="str">
        <v>N/A</v>
      </c>
      <c r="M283">
        <v>44985</v>
      </c>
      <c r="N283" t="str">
        <f>VLOOKUP(B283,Hoja1!$B$1:$C$25,2,0)</f>
        <v>LUISA FERNANDA MEJIA CORREA</v>
      </c>
      <c r="O283" t="str">
        <f>VLOOKUP(A283,#REF!,22,0)</f>
        <v>#REF!</v>
      </c>
    </row>
    <row r="284">
      <c r="A284">
        <v>288</v>
      </c>
      <c r="B284" t="str">
        <v>LUIS CARLOS CALVO ARAUJO</v>
      </c>
      <c r="C284" t="str">
        <v>NO</v>
      </c>
      <c r="D284" t="e">
        <v>#N/A</v>
      </c>
      <c r="E284" t="e">
        <v>#N/A</v>
      </c>
      <c r="F284">
        <v>0</v>
      </c>
      <c r="G284">
        <v>0</v>
      </c>
      <c r="H284">
        <v>0</v>
      </c>
      <c r="I284" t="e">
        <v>#N/A</v>
      </c>
      <c r="J284">
        <v>77</v>
      </c>
      <c r="K284">
        <v>1</v>
      </c>
      <c r="L284" t="str">
        <v>N/A</v>
      </c>
      <c r="M284">
        <v>44985</v>
      </c>
      <c r="N284" t="str">
        <f>VLOOKUP(B284,Hoja1!$B$1:$C$25,2,0)</f>
        <v>LUISA FERNANDA MEJIA CORREA</v>
      </c>
      <c r="O284" t="str">
        <f>VLOOKUP(A284,#REF!,22,0)</f>
        <v>#REF!</v>
      </c>
    </row>
    <row r="285">
      <c r="A285">
        <v>297</v>
      </c>
      <c r="B285" t="str">
        <v>LUIS CARLOS CALVO ARAUJO</v>
      </c>
      <c r="C285" t="str">
        <v>SI</v>
      </c>
      <c r="D285" t="e">
        <v>#N/A</v>
      </c>
      <c r="E285" t="e">
        <v>#N/A</v>
      </c>
      <c r="F285">
        <v>0</v>
      </c>
      <c r="G285">
        <v>0</v>
      </c>
      <c r="H285">
        <v>0</v>
      </c>
      <c r="I285" t="e">
        <v>#N/A</v>
      </c>
      <c r="J285">
        <v>151</v>
      </c>
      <c r="K285">
        <v>0</v>
      </c>
      <c r="L285" t="str">
        <v>N/A</v>
      </c>
      <c r="N285" t="str">
        <f>VLOOKUP(B285,Hoja1!$B$1:$C$25,2,0)</f>
        <v>LUISA FERNANDA MEJIA CORREA</v>
      </c>
      <c r="O285" t="str">
        <f>VLOOKUP(A285,#REF!,22,0)</f>
        <v>#REF!</v>
      </c>
    </row>
    <row r="286">
      <c r="A286">
        <v>298</v>
      </c>
      <c r="B286" t="str">
        <v>LUIS CARLOS CALVO ARAUJO</v>
      </c>
      <c r="C286" t="str">
        <v>NO</v>
      </c>
      <c r="D286" t="e">
        <v>#N/A</v>
      </c>
      <c r="E286" t="e">
        <v>#N/A</v>
      </c>
      <c r="F286">
        <v>0</v>
      </c>
      <c r="G286">
        <v>0</v>
      </c>
      <c r="H286">
        <v>0</v>
      </c>
      <c r="I286" t="e">
        <v>#N/A</v>
      </c>
      <c r="J286">
        <v>176</v>
      </c>
      <c r="K286">
        <v>1</v>
      </c>
      <c r="L286" t="str">
        <v>N/A</v>
      </c>
      <c r="M286">
        <v>44985</v>
      </c>
      <c r="N286" t="str">
        <f>VLOOKUP(B286,Hoja1!$B$1:$C$25,2,0)</f>
        <v>LUISA FERNANDA MEJIA CORREA</v>
      </c>
      <c r="O286" t="str">
        <f>VLOOKUP(A286,#REF!,22,0)</f>
        <v>#REF!</v>
      </c>
    </row>
    <row r="287">
      <c r="A287">
        <v>310</v>
      </c>
      <c r="B287" t="str">
        <v>LUIS CARLOS CALVO ARAUJO</v>
      </c>
      <c r="C287" t="str">
        <v>NO</v>
      </c>
      <c r="D287" t="e">
        <v>#N/A</v>
      </c>
      <c r="E287" t="e">
        <v>#N/A</v>
      </c>
      <c r="F287">
        <v>0</v>
      </c>
      <c r="G287">
        <v>0</v>
      </c>
      <c r="H287">
        <v>0</v>
      </c>
      <c r="I287" t="e">
        <v>#N/A</v>
      </c>
      <c r="J287">
        <v>0</v>
      </c>
      <c r="K287">
        <v>1</v>
      </c>
      <c r="L287" t="str">
        <v>N/A</v>
      </c>
      <c r="N287" t="str">
        <f>VLOOKUP(B287,Hoja1!$B$1:$C$25,2,0)</f>
        <v>LUISA FERNANDA MEJIA CORREA</v>
      </c>
      <c r="O287" t="str">
        <f>VLOOKUP(A287,#REF!,22,0)</f>
        <v>#REF!</v>
      </c>
    </row>
    <row r="288">
      <c r="A288" t="str">
        <v>173A</v>
      </c>
      <c r="B288" t="str">
        <v>LUIS CARLOS CALVO ARAUJO</v>
      </c>
      <c r="C288" t="str">
        <v>NO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f>I288-J288</f>
        <v>0</v>
      </c>
      <c r="N288" t="str">
        <f>VLOOKUP(B288,Hoja1!$B$1:$C$25,2,0)</f>
        <v>LUISA FERNANDA MEJIA CORREA</v>
      </c>
      <c r="O288" t="str">
        <f>VLOOKUP(A288,#REF!,22,0)</f>
        <v>#REF!</v>
      </c>
    </row>
    <row r="289">
      <c r="A289" t="str">
        <v>19A</v>
      </c>
      <c r="B289" t="str">
        <v>LUIS CARLOS CALVO ARAUJO</v>
      </c>
      <c r="C289" t="str">
        <v>NO</v>
      </c>
      <c r="D289">
        <v>588</v>
      </c>
      <c r="E289">
        <v>667</v>
      </c>
      <c r="F289">
        <v>0</v>
      </c>
      <c r="G289">
        <v>0</v>
      </c>
      <c r="H289">
        <v>0</v>
      </c>
      <c r="I289">
        <v>1255</v>
      </c>
      <c r="J289">
        <v>81</v>
      </c>
      <c r="K289">
        <v>3</v>
      </c>
      <c r="L289">
        <f>I289-J289</f>
        <v>1174</v>
      </c>
      <c r="M289">
        <v>45016</v>
      </c>
      <c r="N289" t="str">
        <f>VLOOKUP(B289,Hoja1!$B$1:$C$25,2,0)</f>
        <v>LUISA FERNANDA MEJIA CORREA</v>
      </c>
      <c r="O289" t="str">
        <f>VLOOKUP(A289,#REF!,22,0)</f>
        <v>#REF!</v>
      </c>
    </row>
    <row r="290">
      <c r="A290">
        <v>347</v>
      </c>
      <c r="B290" t="str">
        <v>LUIS CARLOS CALVO ARAUJO</v>
      </c>
      <c r="J290">
        <v>0</v>
      </c>
      <c r="N290" t="str">
        <f>VLOOKUP(B290,Hoja1!$B$1:$C$25,2,0)</f>
        <v>LUISA FERNANDA MEJIA CORREA</v>
      </c>
      <c r="O290" t="str">
        <f>VLOOKUP(A290,#REF!,22,0)</f>
        <v>#REF!</v>
      </c>
    </row>
    <row r="291">
      <c r="A291">
        <v>352</v>
      </c>
      <c r="B291" t="str">
        <v>LUIS CARLOS CALVO ARAUJO</v>
      </c>
      <c r="J291">
        <v>0</v>
      </c>
      <c r="N291" t="str">
        <f>VLOOKUP(B291,Hoja1!$B$1:$C$25,2,0)</f>
        <v>LUISA FERNANDA MEJIA CORREA</v>
      </c>
      <c r="O291" t="str">
        <f>VLOOKUP(A291,#REF!,22,0)</f>
        <v>#REF!</v>
      </c>
    </row>
    <row r="292">
      <c r="A292">
        <v>346</v>
      </c>
      <c r="B292" t="str">
        <v>LUIS CARLOS CALVO ARAUJO</v>
      </c>
      <c r="J292">
        <v>0</v>
      </c>
      <c r="N292" t="str">
        <f>VLOOKUP(B292,Hoja1!$B$1:$C$25,2,0)</f>
        <v>LUISA FERNANDA MEJIA CORREA</v>
      </c>
      <c r="O292" t="str">
        <f>VLOOKUP(A292,#REF!,22,0)</f>
        <v>#REF!</v>
      </c>
    </row>
    <row r="293">
      <c r="A293">
        <v>351</v>
      </c>
      <c r="B293" t="str">
        <v>LUIS CARLOS CALVO ARAUJO</v>
      </c>
      <c r="J293">
        <v>0</v>
      </c>
      <c r="N293" t="str">
        <f>VLOOKUP(B293,Hoja1!$B$1:$C$25,2,0)</f>
        <v>LUISA FERNANDA MEJIA CORREA</v>
      </c>
      <c r="O293" t="str">
        <f>VLOOKUP(A293,#REF!,22,0)</f>
        <v>#REF!</v>
      </c>
    </row>
    <row r="294">
      <c r="A294">
        <v>353</v>
      </c>
      <c r="B294" t="str">
        <v>LUIS CARLOS CALVO ARAUJO</v>
      </c>
      <c r="J294">
        <v>11</v>
      </c>
      <c r="L294" t="str">
        <v>N/A</v>
      </c>
      <c r="N294" t="str">
        <f>VLOOKUP(B294,Hoja1!$B$1:$C$25,2,0)</f>
        <v>LUISA FERNANDA MEJIA CORREA</v>
      </c>
      <c r="O294" t="str">
        <f>VLOOKUP(A294,#REF!,22,0)</f>
        <v>#REF!</v>
      </c>
    </row>
    <row r="295">
      <c r="A295">
        <v>354</v>
      </c>
      <c r="B295" t="str">
        <v>LUIS CARLOS CALVO ARAUJO</v>
      </c>
      <c r="J295">
        <v>0</v>
      </c>
      <c r="N295" t="str">
        <f>VLOOKUP(B295,Hoja1!$B$1:$C$25,2,0)</f>
        <v>LUISA FERNANDA MEJIA CORREA</v>
      </c>
      <c r="O295" t="str">
        <f>VLOOKUP(A295,#REF!,22,0)</f>
        <v>#REF!</v>
      </c>
    </row>
    <row r="296">
      <c r="A296">
        <v>356</v>
      </c>
      <c r="B296" t="str">
        <v>LUIS CARLOS CALVO ARAUJO</v>
      </c>
      <c r="J296">
        <v>0</v>
      </c>
      <c r="N296" t="str">
        <f>VLOOKUP(B296,Hoja1!$B$1:$C$25,2,0)</f>
        <v>LUISA FERNANDA MEJIA CORREA</v>
      </c>
      <c r="O296" t="str">
        <f>VLOOKUP(A296,#REF!,22,0)</f>
        <v>#REF!</v>
      </c>
    </row>
    <row r="297">
      <c r="A297">
        <v>1</v>
      </c>
      <c r="B297" t="str">
        <v xml:space="preserve">LUIS ERNESTO GERENA SALAS </v>
      </c>
      <c r="C297" t="str">
        <v>NO</v>
      </c>
      <c r="D297">
        <v>576</v>
      </c>
      <c r="E297">
        <v>480</v>
      </c>
      <c r="F297">
        <v>0</v>
      </c>
      <c r="G297">
        <v>0</v>
      </c>
      <c r="H297">
        <v>0</v>
      </c>
      <c r="I297">
        <v>1056</v>
      </c>
      <c r="J297">
        <v>171</v>
      </c>
      <c r="K297">
        <v>11</v>
      </c>
      <c r="L297">
        <f>I297-J297</f>
        <v>885</v>
      </c>
      <c r="M297">
        <v>44985</v>
      </c>
      <c r="N297" t="str">
        <f>VLOOKUP(B297,Hoja1!$B$1:$C$25,2,0)</f>
        <v>LEONARDO PINZON URIBE</v>
      </c>
      <c r="O297" t="str">
        <f>VLOOKUP(A297,#REF!,22,0)</f>
        <v>#REF!</v>
      </c>
    </row>
    <row r="298">
      <c r="A298">
        <v>24</v>
      </c>
      <c r="B298" t="str">
        <v xml:space="preserve">LUIS ERNESTO GERENA SALAS </v>
      </c>
      <c r="C298" t="str">
        <v>NO</v>
      </c>
      <c r="D298">
        <v>300</v>
      </c>
      <c r="E298">
        <v>24</v>
      </c>
      <c r="F298">
        <v>0</v>
      </c>
      <c r="G298">
        <v>0</v>
      </c>
      <c r="H298">
        <v>0</v>
      </c>
      <c r="I298">
        <v>324</v>
      </c>
      <c r="J298">
        <v>37</v>
      </c>
      <c r="K298">
        <v>10</v>
      </c>
      <c r="L298">
        <f>I298-J298</f>
        <v>287</v>
      </c>
      <c r="M298">
        <v>44985</v>
      </c>
      <c r="N298" t="str">
        <f>VLOOKUP(B298,Hoja1!$B$1:$C$25,2,0)</f>
        <v>LEONARDO PINZON URIBE</v>
      </c>
      <c r="O298" t="str">
        <f>VLOOKUP(A298,#REF!,22,0)</f>
        <v>#REF!</v>
      </c>
    </row>
    <row r="299">
      <c r="A299">
        <v>93</v>
      </c>
      <c r="B299" t="str">
        <v xml:space="preserve">LUIS ERNESTO GERENA SALAS </v>
      </c>
      <c r="C299" t="str">
        <v>SI</v>
      </c>
      <c r="D299" t="e">
        <v>#N/A</v>
      </c>
      <c r="E299" t="e">
        <v>#N/A</v>
      </c>
      <c r="F299">
        <v>0</v>
      </c>
      <c r="G299">
        <v>0</v>
      </c>
      <c r="H299">
        <v>0</v>
      </c>
      <c r="I299" t="e">
        <v>#N/A</v>
      </c>
      <c r="J299">
        <v>0</v>
      </c>
      <c r="K299">
        <v>0</v>
      </c>
      <c r="L299" t="str">
        <v>N/A</v>
      </c>
      <c r="N299" t="str">
        <f>VLOOKUP(B299,Hoja1!$B$1:$C$25,2,0)</f>
        <v>LEONARDO PINZON URIBE</v>
      </c>
      <c r="O299" t="str">
        <f>VLOOKUP(A299,#REF!,22,0)</f>
        <v>#REF!</v>
      </c>
    </row>
    <row r="300">
      <c r="A300" t="str">
        <v>24A</v>
      </c>
      <c r="B300" t="str">
        <v xml:space="preserve">LUIS ERNESTO GERENA SALAS </v>
      </c>
      <c r="C300" t="str">
        <v>NO</v>
      </c>
      <c r="D300">
        <v>407</v>
      </c>
      <c r="E300">
        <v>70</v>
      </c>
      <c r="F300">
        <v>0</v>
      </c>
      <c r="G300">
        <v>0</v>
      </c>
      <c r="H300">
        <v>0</v>
      </c>
      <c r="I300">
        <v>477</v>
      </c>
      <c r="J300">
        <v>0</v>
      </c>
      <c r="K300">
        <v>0</v>
      </c>
      <c r="L300">
        <f>I300-J300</f>
        <v>477</v>
      </c>
      <c r="M300">
        <v>45016</v>
      </c>
      <c r="N300" t="str">
        <f>VLOOKUP(B300,Hoja1!$B$1:$C$25,2,0)</f>
        <v>LEONARDO PINZON URIBE</v>
      </c>
      <c r="O300" t="str">
        <f>VLOOKUP(A300,#REF!,22,0)</f>
        <v>#REF!</v>
      </c>
    </row>
    <row r="301">
      <c r="A301" t="str">
        <v>24B</v>
      </c>
      <c r="B301" t="str">
        <v xml:space="preserve">LUIS ERNESTO GERENA SALAS </v>
      </c>
      <c r="C301" t="str">
        <v>NO</v>
      </c>
      <c r="D301">
        <v>183</v>
      </c>
      <c r="E301">
        <v>195</v>
      </c>
      <c r="F301">
        <v>0</v>
      </c>
      <c r="G301">
        <v>0</v>
      </c>
      <c r="H301">
        <v>0</v>
      </c>
      <c r="I301">
        <v>378</v>
      </c>
      <c r="J301">
        <v>0</v>
      </c>
      <c r="K301">
        <v>0</v>
      </c>
      <c r="L301">
        <f>I301-J301</f>
        <v>378</v>
      </c>
      <c r="M301">
        <v>45016</v>
      </c>
      <c r="N301" t="str">
        <f>VLOOKUP(B301,Hoja1!$B$1:$C$25,2,0)</f>
        <v>LEONARDO PINZON URIBE</v>
      </c>
      <c r="O301" t="str">
        <f>VLOOKUP(A301,#REF!,22,0)</f>
        <v>#REF!</v>
      </c>
    </row>
    <row r="302">
      <c r="A302" t="str">
        <v>24C</v>
      </c>
      <c r="B302" t="str">
        <v xml:space="preserve">LUIS ERNESTO GERENA SALAS </v>
      </c>
      <c r="C302" t="str">
        <v>NO</v>
      </c>
      <c r="D302">
        <v>140</v>
      </c>
      <c r="E302">
        <v>86</v>
      </c>
      <c r="F302">
        <v>0</v>
      </c>
      <c r="G302">
        <v>0</v>
      </c>
      <c r="H302">
        <v>0</v>
      </c>
      <c r="I302">
        <v>226</v>
      </c>
      <c r="J302">
        <v>0</v>
      </c>
      <c r="K302">
        <v>0</v>
      </c>
      <c r="L302">
        <f>I302-J302</f>
        <v>226</v>
      </c>
      <c r="M302">
        <v>45016</v>
      </c>
      <c r="N302" t="str">
        <f>VLOOKUP(B302,Hoja1!$B$1:$C$25,2,0)</f>
        <v>LEONARDO PINZON URIBE</v>
      </c>
      <c r="O302" t="str">
        <f>VLOOKUP(A302,#REF!,22,0)</f>
        <v>#REF!</v>
      </c>
    </row>
    <row r="303">
      <c r="A303">
        <v>5</v>
      </c>
      <c r="B303" t="str">
        <v>MANUEL RENE CEPEDA VELASCO</v>
      </c>
      <c r="C303" t="str">
        <v>NO</v>
      </c>
      <c r="D303">
        <v>354</v>
      </c>
      <c r="E303">
        <v>546</v>
      </c>
      <c r="F303">
        <v>410</v>
      </c>
      <c r="G303">
        <v>370</v>
      </c>
      <c r="H303">
        <v>120</v>
      </c>
      <c r="I303">
        <v>1800</v>
      </c>
      <c r="J303">
        <v>59</v>
      </c>
      <c r="K303">
        <v>2</v>
      </c>
      <c r="L303">
        <f>I303-J303</f>
        <v>1741</v>
      </c>
      <c r="M303">
        <v>45046</v>
      </c>
      <c r="N303" t="str">
        <f>VLOOKUP(B303,Hoja1!$B$1:$C$25,2,0)</f>
        <v>EDGAR JAVIER CASTAÑEDA GIL</v>
      </c>
      <c r="O303" t="str">
        <f>VLOOKUP(A303,#REF!,22,0)</f>
        <v>#REF!</v>
      </c>
    </row>
    <row r="304">
      <c r="A304">
        <v>7</v>
      </c>
      <c r="B304" t="str">
        <v>MANUEL RENE CEPEDA VELASCO</v>
      </c>
      <c r="C304" t="str">
        <v>NO</v>
      </c>
      <c r="D304">
        <v>104</v>
      </c>
      <c r="E304">
        <v>157</v>
      </c>
      <c r="F304">
        <v>0</v>
      </c>
      <c r="G304">
        <v>0</v>
      </c>
      <c r="H304">
        <v>0</v>
      </c>
      <c r="I304">
        <v>261</v>
      </c>
      <c r="J304">
        <v>0</v>
      </c>
      <c r="K304">
        <v>2</v>
      </c>
      <c r="L304">
        <f>I304-J304</f>
        <v>261</v>
      </c>
      <c r="M304">
        <v>44985</v>
      </c>
      <c r="N304" t="str">
        <f>VLOOKUP(B304,Hoja1!$B$1:$C$25,2,0)</f>
        <v>EDGAR JAVIER CASTAÑEDA GIL</v>
      </c>
      <c r="O304" t="str">
        <f>VLOOKUP(A304,#REF!,22,0)</f>
        <v>#REF!</v>
      </c>
    </row>
    <row r="305">
      <c r="A305">
        <v>8</v>
      </c>
      <c r="B305" t="str">
        <v>MANUEL RENE CEPEDA VELASCO</v>
      </c>
      <c r="C305" t="str">
        <v>NO</v>
      </c>
      <c r="D305">
        <v>239</v>
      </c>
      <c r="E305">
        <v>95</v>
      </c>
      <c r="F305">
        <v>100</v>
      </c>
      <c r="G305">
        <v>126</v>
      </c>
      <c r="H305">
        <v>39</v>
      </c>
      <c r="I305">
        <v>599</v>
      </c>
      <c r="J305">
        <v>246</v>
      </c>
      <c r="K305">
        <v>3</v>
      </c>
      <c r="L305">
        <f>I305-J305</f>
        <v>353</v>
      </c>
      <c r="M305">
        <v>44985</v>
      </c>
      <c r="N305" t="str">
        <f>VLOOKUP(B305,Hoja1!$B$1:$C$25,2,0)</f>
        <v>EDGAR JAVIER CASTAÑEDA GIL</v>
      </c>
      <c r="O305" t="str">
        <f>VLOOKUP(A305,#REF!,22,0)</f>
        <v>#REF!</v>
      </c>
    </row>
    <row r="306">
      <c r="A306">
        <v>10</v>
      </c>
      <c r="B306" t="str">
        <v>MANUEL RENE CEPEDA VELASCO</v>
      </c>
      <c r="C306" t="str">
        <v>NO</v>
      </c>
      <c r="D306">
        <v>152</v>
      </c>
      <c r="E306">
        <v>295</v>
      </c>
      <c r="F306" t="str">
        <v>N/A</v>
      </c>
      <c r="G306">
        <v>369</v>
      </c>
      <c r="H306">
        <v>78</v>
      </c>
      <c r="I306" t="str">
        <v>#VALUE!</v>
      </c>
      <c r="J306">
        <v>272</v>
      </c>
      <c r="K306">
        <v>2</v>
      </c>
      <c r="L306" t="str">
        <v>N/A</v>
      </c>
      <c r="N306" t="str">
        <f>VLOOKUP(B306,Hoja1!$B$1:$C$25,2,0)</f>
        <v>EDGAR JAVIER CASTAÑEDA GIL</v>
      </c>
      <c r="O306" t="str">
        <f>VLOOKUP(A306,#REF!,22,0)</f>
        <v>#REF!</v>
      </c>
    </row>
    <row r="307">
      <c r="A307">
        <v>11</v>
      </c>
      <c r="B307" t="str">
        <v>MANUEL RENE CEPEDA VELASCO</v>
      </c>
      <c r="C307" t="str">
        <v>NO</v>
      </c>
      <c r="D307">
        <v>62</v>
      </c>
      <c r="E307">
        <v>165</v>
      </c>
      <c r="F307">
        <v>2</v>
      </c>
      <c r="G307">
        <v>170</v>
      </c>
      <c r="H307">
        <v>57</v>
      </c>
      <c r="I307">
        <v>456</v>
      </c>
      <c r="J307">
        <v>72</v>
      </c>
      <c r="K307">
        <v>1</v>
      </c>
      <c r="L307">
        <f>I307-J307</f>
        <v>384</v>
      </c>
      <c r="M307">
        <v>45000</v>
      </c>
      <c r="N307" t="str">
        <f>VLOOKUP(B307,Hoja1!$B$1:$C$25,2,0)</f>
        <v>EDGAR JAVIER CASTAÑEDA GIL</v>
      </c>
      <c r="O307" t="str">
        <f>VLOOKUP(A307,#REF!,22,0)</f>
        <v>#REF!</v>
      </c>
    </row>
    <row r="308">
      <c r="A308">
        <v>13</v>
      </c>
      <c r="B308" t="str">
        <v>MANUEL RENE CEPEDA VELASCO</v>
      </c>
      <c r="C308" t="str">
        <v>NO</v>
      </c>
      <c r="D308">
        <v>80</v>
      </c>
      <c r="E308">
        <v>67</v>
      </c>
      <c r="F308">
        <v>0</v>
      </c>
      <c r="G308">
        <v>0</v>
      </c>
      <c r="H308">
        <v>0</v>
      </c>
      <c r="I308">
        <v>147</v>
      </c>
      <c r="J308">
        <v>56</v>
      </c>
      <c r="K308">
        <v>1</v>
      </c>
      <c r="L308">
        <f>I308-J308</f>
        <v>91</v>
      </c>
      <c r="M308">
        <v>44985</v>
      </c>
      <c r="N308" t="str">
        <f>VLOOKUP(B308,Hoja1!$B$1:$C$25,2,0)</f>
        <v>EDGAR JAVIER CASTAÑEDA GIL</v>
      </c>
      <c r="O308" t="str">
        <f>VLOOKUP(A308,#REF!,22,0)</f>
        <v>#REF!</v>
      </c>
    </row>
    <row r="309">
      <c r="A309">
        <v>15</v>
      </c>
      <c r="B309" t="str">
        <v>MANUEL RENE CEPEDA VELASCO</v>
      </c>
      <c r="C309" t="str">
        <v>SI</v>
      </c>
      <c r="D309">
        <v>23</v>
      </c>
      <c r="E309">
        <v>54</v>
      </c>
      <c r="F309" t="str">
        <v>N/A</v>
      </c>
      <c r="G309" t="str">
        <v>N/A</v>
      </c>
      <c r="H309" t="str">
        <v>N/A</v>
      </c>
      <c r="I309" t="str">
        <v>#VALUE!</v>
      </c>
      <c r="J309">
        <v>67</v>
      </c>
      <c r="K309">
        <v>0</v>
      </c>
      <c r="L309" t="str">
        <v>N/A</v>
      </c>
      <c r="N309" t="str">
        <f>VLOOKUP(B309,Hoja1!$B$1:$C$25,2,0)</f>
        <v>EDGAR JAVIER CASTAÑEDA GIL</v>
      </c>
      <c r="O309" t="str">
        <f>VLOOKUP(A309,#REF!,22,0)</f>
        <v>#REF!</v>
      </c>
    </row>
    <row r="310">
      <c r="A310">
        <v>143</v>
      </c>
      <c r="B310" t="str">
        <v>NAYIBE XIMENA PICO ESPITA</v>
      </c>
      <c r="C310" t="str">
        <v>NO</v>
      </c>
      <c r="D310">
        <v>350</v>
      </c>
      <c r="E310">
        <v>540</v>
      </c>
      <c r="F310">
        <v>200</v>
      </c>
      <c r="G310">
        <v>449</v>
      </c>
      <c r="H310">
        <v>241</v>
      </c>
      <c r="I310">
        <v>1780</v>
      </c>
      <c r="J310">
        <v>160</v>
      </c>
      <c r="K310">
        <v>4</v>
      </c>
      <c r="L310">
        <f>I310-J310</f>
        <v>1620</v>
      </c>
      <c r="M310">
        <v>45046</v>
      </c>
      <c r="N310" t="str">
        <f>VLOOKUP(B310,Hoja1!$B$1:$C$25,2,0)</f>
        <v>LUISA FERNANDA MEJIA CORREA</v>
      </c>
      <c r="O310" t="str">
        <f>VLOOKUP(A310,#REF!,22,0)</f>
        <v>#REF!</v>
      </c>
    </row>
    <row r="311">
      <c r="A311">
        <v>151</v>
      </c>
      <c r="B311" t="str">
        <v>MANUEL RENE CEPEDA VELASCO</v>
      </c>
      <c r="C311" t="str">
        <v>NO</v>
      </c>
      <c r="D311">
        <v>47</v>
      </c>
      <c r="E311">
        <v>44</v>
      </c>
      <c r="F311">
        <v>0</v>
      </c>
      <c r="G311">
        <v>0</v>
      </c>
      <c r="H311">
        <v>0</v>
      </c>
      <c r="I311">
        <v>91</v>
      </c>
      <c r="J311">
        <v>186</v>
      </c>
      <c r="K311">
        <v>1</v>
      </c>
      <c r="L311" t="str">
        <v>N/A</v>
      </c>
      <c r="N311" t="str">
        <f>VLOOKUP(B311,Hoja1!$B$1:$C$25,2,0)</f>
        <v>EDGAR JAVIER CASTAÑEDA GIL</v>
      </c>
      <c r="O311" t="str">
        <f>VLOOKUP(A311,#REF!,22,0)</f>
        <v>#REF!</v>
      </c>
    </row>
    <row r="312">
      <c r="A312">
        <v>187</v>
      </c>
      <c r="B312" t="str">
        <v>MANUEL RENE CEPEDA VELASCO</v>
      </c>
      <c r="C312" t="str">
        <v>NO</v>
      </c>
      <c r="D312">
        <v>19</v>
      </c>
      <c r="E312">
        <v>21</v>
      </c>
      <c r="F312">
        <v>0</v>
      </c>
      <c r="G312">
        <v>0</v>
      </c>
      <c r="H312">
        <v>0</v>
      </c>
      <c r="I312">
        <v>40</v>
      </c>
      <c r="J312">
        <v>52</v>
      </c>
      <c r="K312">
        <v>0</v>
      </c>
      <c r="L312">
        <f>I312-J312</f>
        <v>-12</v>
      </c>
      <c r="N312" t="str">
        <f>VLOOKUP(B312,Hoja1!$B$1:$C$25,2,0)</f>
        <v>EDGAR JAVIER CASTAÑEDA GIL</v>
      </c>
      <c r="O312" t="str">
        <f>VLOOKUP(A312,#REF!,22,0)</f>
        <v>#REF!</v>
      </c>
    </row>
    <row r="313">
      <c r="A313">
        <v>227</v>
      </c>
      <c r="B313" t="str">
        <v>MANUEL RENE CEPEDA VELASCO</v>
      </c>
      <c r="C313" t="str">
        <v>NO</v>
      </c>
      <c r="D313">
        <v>5</v>
      </c>
      <c r="E313">
        <v>51</v>
      </c>
      <c r="F313">
        <v>0</v>
      </c>
      <c r="G313">
        <v>0</v>
      </c>
      <c r="H313">
        <v>0</v>
      </c>
      <c r="I313">
        <v>56</v>
      </c>
      <c r="J313">
        <v>66</v>
      </c>
      <c r="K313">
        <v>1</v>
      </c>
      <c r="L313">
        <f>I313-J313</f>
        <v>-10</v>
      </c>
      <c r="N313" t="str">
        <f>VLOOKUP(B313,Hoja1!$B$1:$C$25,2,0)</f>
        <v>EDGAR JAVIER CASTAÑEDA GIL</v>
      </c>
      <c r="O313" t="str">
        <f>VLOOKUP(A313,#REF!,22,0)</f>
        <v>#REF!</v>
      </c>
    </row>
    <row r="314">
      <c r="A314" t="str">
        <v>8A</v>
      </c>
      <c r="B314" t="str">
        <v>MANUEL RENE CEPEDA VELASCO</v>
      </c>
      <c r="C314" t="str">
        <v>NO</v>
      </c>
      <c r="D314">
        <v>130</v>
      </c>
      <c r="E314">
        <v>241</v>
      </c>
      <c r="F314">
        <v>52</v>
      </c>
      <c r="G314">
        <v>215</v>
      </c>
      <c r="H314">
        <v>104</v>
      </c>
      <c r="I314">
        <v>742</v>
      </c>
      <c r="J314">
        <v>0</v>
      </c>
      <c r="K314">
        <v>2</v>
      </c>
      <c r="L314">
        <f>I314-J314</f>
        <v>742</v>
      </c>
      <c r="M314">
        <v>45000</v>
      </c>
      <c r="N314" t="str">
        <f>VLOOKUP(B314,Hoja1!$B$1:$C$25,2,0)</f>
        <v>EDGAR JAVIER CASTAÑEDA GIL</v>
      </c>
      <c r="O314" t="str">
        <f>VLOOKUP(A314,#REF!,22,0)</f>
        <v>#REF!</v>
      </c>
    </row>
    <row r="315">
      <c r="A315" t="str">
        <v>8B</v>
      </c>
      <c r="B315" t="str">
        <v>MANUEL RENE CEPEDA VELASCO</v>
      </c>
      <c r="C315" t="str">
        <v>NO</v>
      </c>
      <c r="D315">
        <v>197</v>
      </c>
      <c r="E315">
        <v>493</v>
      </c>
      <c r="F315">
        <v>100</v>
      </c>
      <c r="G315">
        <v>460</v>
      </c>
      <c r="H315">
        <v>130</v>
      </c>
      <c r="I315">
        <v>1380</v>
      </c>
      <c r="J315">
        <v>239</v>
      </c>
      <c r="K315">
        <v>3</v>
      </c>
      <c r="L315">
        <f>I315-J315</f>
        <v>1141</v>
      </c>
      <c r="M315">
        <v>45016</v>
      </c>
      <c r="N315" t="str">
        <f>VLOOKUP(B315,Hoja1!$B$1:$C$25,2,0)</f>
        <v>EDGAR JAVIER CASTAÑEDA GIL</v>
      </c>
      <c r="O315" t="str">
        <f>VLOOKUP(A315,#REF!,22,0)</f>
        <v>#REF!</v>
      </c>
    </row>
    <row r="316">
      <c r="A316">
        <v>336</v>
      </c>
      <c r="B316" t="str">
        <v>MANUEL RENE CEPEDA VELASCO</v>
      </c>
      <c r="C316">
        <v>0</v>
      </c>
      <c r="D316">
        <v>0</v>
      </c>
      <c r="E316">
        <v>0</v>
      </c>
      <c r="F316">
        <v>725</v>
      </c>
      <c r="G316">
        <v>0</v>
      </c>
      <c r="H316">
        <v>0</v>
      </c>
      <c r="I316">
        <v>725</v>
      </c>
      <c r="J316">
        <v>0</v>
      </c>
      <c r="K316">
        <v>0</v>
      </c>
      <c r="L316">
        <f>I316-J316</f>
        <v>725</v>
      </c>
      <c r="M316">
        <v>45046</v>
      </c>
      <c r="N316" t="str">
        <f>VLOOKUP(B316,Hoja1!$B$1:$C$25,2,0)</f>
        <v>EDGAR JAVIER CASTAÑEDA GIL</v>
      </c>
      <c r="O316" t="str">
        <f>VLOOKUP(A316,#REF!,22,0)</f>
        <v>#REF!</v>
      </c>
    </row>
    <row r="317">
      <c r="A317">
        <v>349</v>
      </c>
      <c r="B317" t="str">
        <v>MANUEL RENE CEPEDA VELASCO</v>
      </c>
      <c r="J317">
        <v>0</v>
      </c>
      <c r="N317" t="str">
        <f>VLOOKUP(B317,Hoja1!$B$1:$C$25,2,0)</f>
        <v>EDGAR JAVIER CASTAÑEDA GIL</v>
      </c>
      <c r="O317" t="str">
        <f>VLOOKUP(A317,#REF!,22,0)</f>
        <v>#REF!</v>
      </c>
    </row>
    <row r="318">
      <c r="A318">
        <v>137</v>
      </c>
      <c r="B318" t="str">
        <v>MILDRED YULIANA SAAVEDRA AGUILAR</v>
      </c>
      <c r="C318" t="str">
        <v>NO</v>
      </c>
      <c r="D318">
        <v>158</v>
      </c>
      <c r="E318">
        <v>101</v>
      </c>
      <c r="F318">
        <v>0</v>
      </c>
      <c r="G318">
        <v>0</v>
      </c>
      <c r="H318">
        <v>0</v>
      </c>
      <c r="I318">
        <v>259</v>
      </c>
      <c r="J318">
        <v>285</v>
      </c>
      <c r="K318">
        <v>2</v>
      </c>
      <c r="L318" t="str">
        <v>N/A</v>
      </c>
      <c r="N318" t="str">
        <f>VLOOKUP(B318,Hoja1!$B$1:$C$25,2,0)</f>
        <v>LEONARDO PINZON URIBE</v>
      </c>
      <c r="O318" t="str">
        <f>VLOOKUP(A318,#REF!,22,0)</f>
        <v>#REF!</v>
      </c>
    </row>
    <row r="319">
      <c r="A319">
        <v>139</v>
      </c>
      <c r="B319" t="str">
        <v>NAYIBE XIMENA PICO ESPITA</v>
      </c>
      <c r="C319" t="str">
        <v>NO</v>
      </c>
      <c r="D319">
        <v>165</v>
      </c>
      <c r="E319">
        <v>253</v>
      </c>
      <c r="F319">
        <v>0</v>
      </c>
      <c r="G319">
        <v>0</v>
      </c>
      <c r="H319">
        <v>156</v>
      </c>
      <c r="I319">
        <v>574</v>
      </c>
      <c r="J319">
        <v>404</v>
      </c>
      <c r="K319">
        <v>2</v>
      </c>
      <c r="L319" t="str">
        <v>N/A</v>
      </c>
      <c r="N319" t="str">
        <f>VLOOKUP(B319,Hoja1!$B$1:$C$25,2,0)</f>
        <v>LUISA FERNANDA MEJIA CORREA</v>
      </c>
      <c r="O319" t="str">
        <f>VLOOKUP(A319,#REF!,22,0)</f>
        <v>#REF!</v>
      </c>
    </row>
    <row r="320">
      <c r="A320">
        <v>140</v>
      </c>
      <c r="B320" t="str">
        <v>NAYIBE XIMENA PICO ESPITA</v>
      </c>
      <c r="C320" t="str">
        <v>NO</v>
      </c>
      <c r="D320">
        <v>59</v>
      </c>
      <c r="E320">
        <v>68</v>
      </c>
      <c r="F320">
        <v>0</v>
      </c>
      <c r="G320">
        <v>0</v>
      </c>
      <c r="H320">
        <v>14</v>
      </c>
      <c r="I320">
        <v>141</v>
      </c>
      <c r="J320">
        <v>123</v>
      </c>
      <c r="K320">
        <v>1</v>
      </c>
      <c r="L320">
        <f>I320-J320</f>
        <v>18</v>
      </c>
      <c r="M320">
        <v>44985</v>
      </c>
      <c r="N320" t="str">
        <f>VLOOKUP(B320,Hoja1!$B$1:$C$25,2,0)</f>
        <v>LUISA FERNANDA MEJIA CORREA</v>
      </c>
      <c r="O320" t="str">
        <f>VLOOKUP(A320,#REF!,22,0)</f>
        <v>#REF!</v>
      </c>
    </row>
    <row r="321">
      <c r="A321">
        <v>142</v>
      </c>
      <c r="B321" t="str">
        <v>MILDRED YULIANA SAAVEDRA AGUILAR</v>
      </c>
      <c r="C321" t="str">
        <v>NO</v>
      </c>
      <c r="D321">
        <v>987</v>
      </c>
      <c r="E321">
        <v>749</v>
      </c>
      <c r="F321">
        <v>0</v>
      </c>
      <c r="G321">
        <v>0</v>
      </c>
      <c r="H321">
        <v>210</v>
      </c>
      <c r="I321">
        <v>1946</v>
      </c>
      <c r="J321">
        <v>737</v>
      </c>
      <c r="K321">
        <v>3</v>
      </c>
      <c r="L321" t="str">
        <v>N/A</v>
      </c>
      <c r="N321" t="str">
        <f>VLOOKUP(B321,Hoja1!$B$1:$C$25,2,0)</f>
        <v>LEONARDO PINZON URIBE</v>
      </c>
      <c r="O321" t="str">
        <f>VLOOKUP(A321,#REF!,22,0)</f>
        <v>#REF!</v>
      </c>
    </row>
    <row r="322">
      <c r="A322">
        <v>191</v>
      </c>
      <c r="B322" t="str">
        <v>MILDRED YULIANA SAAVEDRA AGUILAR</v>
      </c>
      <c r="C322" t="str">
        <v>NO</v>
      </c>
      <c r="D322">
        <v>76</v>
      </c>
      <c r="E322">
        <v>77</v>
      </c>
      <c r="F322">
        <v>0</v>
      </c>
      <c r="G322">
        <v>0</v>
      </c>
      <c r="H322">
        <v>31</v>
      </c>
      <c r="I322">
        <v>184</v>
      </c>
      <c r="J322">
        <v>125</v>
      </c>
      <c r="K322">
        <v>1</v>
      </c>
      <c r="L322" t="str">
        <v>N/A</v>
      </c>
      <c r="N322" t="str">
        <f>VLOOKUP(B322,Hoja1!$B$1:$C$25,2,0)</f>
        <v>LEONARDO PINZON URIBE</v>
      </c>
      <c r="O322" t="str">
        <f>VLOOKUP(A322,#REF!,22,0)</f>
        <v>#REF!</v>
      </c>
    </row>
    <row r="323">
      <c r="A323">
        <v>202</v>
      </c>
      <c r="B323" t="str">
        <v>JAVIER MAURICIO SARMIENTO CARRERO</v>
      </c>
      <c r="C323" t="str">
        <v>NO</v>
      </c>
      <c r="D323">
        <v>63</v>
      </c>
      <c r="E323">
        <v>144</v>
      </c>
      <c r="F323">
        <v>0</v>
      </c>
      <c r="G323">
        <v>0</v>
      </c>
      <c r="H323">
        <v>0</v>
      </c>
      <c r="I323">
        <v>207</v>
      </c>
      <c r="J323">
        <v>204</v>
      </c>
      <c r="K323">
        <v>1</v>
      </c>
      <c r="L323" t="str">
        <v>N/A</v>
      </c>
      <c r="N323" t="str">
        <f>VLOOKUP(B323,Hoja1!$B$1:$C$25,2,0)</f>
        <v>EDGAR JAVIER CASTAÑEDA GIL</v>
      </c>
      <c r="O323" t="str">
        <f>VLOOKUP(A323,#REF!,22,0)</f>
        <v>#REF!</v>
      </c>
    </row>
    <row r="324">
      <c r="A324" t="str">
        <v>137A</v>
      </c>
      <c r="B324" t="str">
        <v>JAVIER MAURICIO SARMIENTO CARRERO</v>
      </c>
      <c r="C324" t="str">
        <v>NO</v>
      </c>
      <c r="D324">
        <v>468</v>
      </c>
      <c r="E324">
        <v>606</v>
      </c>
      <c r="F324">
        <v>0</v>
      </c>
      <c r="G324">
        <v>0</v>
      </c>
      <c r="H324">
        <v>0</v>
      </c>
      <c r="I324">
        <v>1074</v>
      </c>
      <c r="J324">
        <v>1296</v>
      </c>
      <c r="K324">
        <v>6</v>
      </c>
      <c r="L324" t="str">
        <v>N/A</v>
      </c>
      <c r="N324" t="str">
        <f>VLOOKUP(B324,Hoja1!$B$1:$C$25,2,0)</f>
        <v>EDGAR JAVIER CASTAÑEDA GIL</v>
      </c>
      <c r="O324" t="str">
        <f>VLOOKUP(A324,#REF!,22,0)</f>
        <v>#REF!</v>
      </c>
    </row>
    <row r="325">
      <c r="A325" t="str">
        <v>137A</v>
      </c>
      <c r="B325" t="str">
        <v>JAVIER MAURICIO SARMIENTO CARRERO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1296</v>
      </c>
      <c r="K325">
        <v>0</v>
      </c>
      <c r="L325">
        <v>0</v>
      </c>
      <c r="N325" t="str">
        <f>VLOOKUP(B325,Hoja1!$B$1:$C$25,2,0)</f>
        <v>EDGAR JAVIER CASTAÑEDA GIL</v>
      </c>
      <c r="O325" t="str">
        <f>VLOOKUP(A325,#REF!,22,0)</f>
        <v>#REF!</v>
      </c>
    </row>
    <row r="326">
      <c r="A326">
        <v>312</v>
      </c>
      <c r="B326" t="str">
        <v>MILDRED YULIANA SAAVEDRA AGUILAR</v>
      </c>
      <c r="C326" t="str">
        <v>SI</v>
      </c>
      <c r="D326">
        <v>82</v>
      </c>
      <c r="E326">
        <v>60</v>
      </c>
      <c r="F326">
        <v>0</v>
      </c>
      <c r="G326">
        <v>0</v>
      </c>
      <c r="H326">
        <v>43</v>
      </c>
      <c r="I326">
        <v>185</v>
      </c>
      <c r="J326">
        <v>75</v>
      </c>
      <c r="K326">
        <v>0</v>
      </c>
      <c r="L326" t="str">
        <v>N/A</v>
      </c>
      <c r="N326" t="str">
        <f>VLOOKUP(B326,Hoja1!$B$1:$C$25,2,0)</f>
        <v>LEONARDO PINZON URIBE</v>
      </c>
      <c r="O326" t="str">
        <f>VLOOKUP(A326,#REF!,22,0)</f>
        <v>#REF!</v>
      </c>
    </row>
    <row r="327">
      <c r="A327">
        <v>331</v>
      </c>
      <c r="B327" t="str">
        <v>MILDRED YULIANA SAAVEDRA AGUILAR</v>
      </c>
      <c r="C327">
        <v>0</v>
      </c>
      <c r="D327">
        <v>0</v>
      </c>
      <c r="E327">
        <v>0</v>
      </c>
      <c r="F327">
        <v>725</v>
      </c>
      <c r="G327">
        <v>0</v>
      </c>
      <c r="H327">
        <v>0</v>
      </c>
      <c r="I327">
        <v>725</v>
      </c>
      <c r="J327">
        <v>0</v>
      </c>
      <c r="K327">
        <v>0</v>
      </c>
      <c r="L327">
        <f>I327-J327</f>
        <v>725</v>
      </c>
      <c r="M327">
        <v>45016</v>
      </c>
      <c r="N327" t="str">
        <f>VLOOKUP(B327,Hoja1!$B$1:$C$25,2,0)</f>
        <v>LEONARDO PINZON URIBE</v>
      </c>
      <c r="O327" t="str">
        <f>VLOOKUP(A327,#REF!,22,0)</f>
        <v>#REF!</v>
      </c>
    </row>
    <row r="328">
      <c r="A328">
        <v>332</v>
      </c>
      <c r="B328" t="str">
        <v>MILDRED YULIANA SAAVEDRA AGUILAR</v>
      </c>
      <c r="C328">
        <v>0</v>
      </c>
      <c r="D328">
        <v>0</v>
      </c>
      <c r="E328">
        <v>0</v>
      </c>
      <c r="F328">
        <v>725</v>
      </c>
      <c r="G328">
        <v>0</v>
      </c>
      <c r="H328">
        <v>0</v>
      </c>
      <c r="I328">
        <v>725</v>
      </c>
      <c r="J328">
        <v>0</v>
      </c>
      <c r="K328">
        <v>0</v>
      </c>
      <c r="L328">
        <f>I328-J328</f>
        <v>725</v>
      </c>
      <c r="N328" t="str">
        <f>VLOOKUP(B328,Hoja1!$B$1:$C$25,2,0)</f>
        <v>LEONARDO PINZON URIBE</v>
      </c>
      <c r="O328" t="str">
        <f>VLOOKUP(A328,#REF!,22,0)</f>
        <v>#REF!</v>
      </c>
    </row>
    <row r="329">
      <c r="A329">
        <v>333</v>
      </c>
      <c r="B329" t="str">
        <v>MILDRED YULIANA SAAVEDRA AGUILAR</v>
      </c>
      <c r="C329">
        <v>0</v>
      </c>
      <c r="D329">
        <v>0</v>
      </c>
      <c r="E329">
        <v>0</v>
      </c>
      <c r="F329">
        <v>725</v>
      </c>
      <c r="G329">
        <v>0</v>
      </c>
      <c r="H329">
        <v>0</v>
      </c>
      <c r="I329">
        <v>725</v>
      </c>
      <c r="J329">
        <v>0</v>
      </c>
      <c r="K329">
        <v>0</v>
      </c>
      <c r="L329">
        <f>I329-J329</f>
        <v>725</v>
      </c>
      <c r="N329" t="str">
        <f>VLOOKUP(B329,Hoja1!$B$1:$C$25,2,0)</f>
        <v>LEONARDO PINZON URIBE</v>
      </c>
      <c r="O329" t="str">
        <f>VLOOKUP(A329,#REF!,22,0)</f>
        <v>#REF!</v>
      </c>
    </row>
    <row r="330">
      <c r="A330">
        <v>334</v>
      </c>
      <c r="B330" t="str">
        <v>MILDRED YULIANA SAAVEDRA AGUILAR</v>
      </c>
      <c r="C330">
        <v>0</v>
      </c>
      <c r="D330">
        <v>0</v>
      </c>
      <c r="E330">
        <v>0</v>
      </c>
      <c r="F330">
        <v>725</v>
      </c>
      <c r="G330">
        <v>0</v>
      </c>
      <c r="H330">
        <v>0</v>
      </c>
      <c r="I330">
        <v>725</v>
      </c>
      <c r="J330">
        <v>0</v>
      </c>
      <c r="K330">
        <v>0</v>
      </c>
      <c r="L330">
        <f>I330-J330</f>
        <v>725</v>
      </c>
      <c r="N330" t="str">
        <f>VLOOKUP(B330,Hoja1!$B$1:$C$25,2,0)</f>
        <v>LEONARDO PINZON URIBE</v>
      </c>
      <c r="O330" t="str">
        <f>VLOOKUP(A330,#REF!,22,0)</f>
        <v>#REF!</v>
      </c>
    </row>
    <row r="331">
      <c r="A331">
        <v>335</v>
      </c>
      <c r="B331" t="str">
        <v>MILDRED YULIANA SAAVEDRA AGUILAR</v>
      </c>
      <c r="C331">
        <v>0</v>
      </c>
      <c r="D331">
        <v>0</v>
      </c>
      <c r="E331">
        <v>0</v>
      </c>
      <c r="F331">
        <v>725</v>
      </c>
      <c r="G331">
        <v>0</v>
      </c>
      <c r="H331">
        <v>0</v>
      </c>
      <c r="I331">
        <v>725</v>
      </c>
      <c r="J331">
        <v>0</v>
      </c>
      <c r="K331">
        <v>0</v>
      </c>
      <c r="L331">
        <f>I331-J331</f>
        <v>725</v>
      </c>
      <c r="N331" t="str">
        <f>VLOOKUP(B331,Hoja1!$B$1:$C$25,2,0)</f>
        <v>LEONARDO PINZON URIBE</v>
      </c>
      <c r="O331" t="str">
        <f>VLOOKUP(A331,#REF!,22,0)</f>
        <v>#REF!</v>
      </c>
    </row>
    <row r="332">
      <c r="A332" t="str">
        <v>137A</v>
      </c>
      <c r="B332" t="str">
        <v>JAVIER MAURICIO SARMIENTO CARRERO</v>
      </c>
      <c r="C332" t="str">
        <v>NO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1296</v>
      </c>
      <c r="K332">
        <v>0</v>
      </c>
      <c r="L332" t="str">
        <v>N/A</v>
      </c>
      <c r="N332" t="str">
        <f>VLOOKUP(B332,Hoja1!$B$1:$C$25,2,0)</f>
        <v>EDGAR JAVIER CASTAÑEDA GIL</v>
      </c>
      <c r="O332" t="str">
        <f>VLOOKUP(A332,#REF!,22,0)</f>
        <v>#REF!</v>
      </c>
    </row>
    <row r="333">
      <c r="A333">
        <v>119</v>
      </c>
      <c r="B333" t="str">
        <v>NIDIA ESPINOSA RODRIGUEZ</v>
      </c>
      <c r="C333" t="str">
        <v>NO</v>
      </c>
      <c r="D333">
        <v>185</v>
      </c>
      <c r="E333">
        <v>56</v>
      </c>
      <c r="F333">
        <v>0</v>
      </c>
      <c r="G333">
        <v>0</v>
      </c>
      <c r="H333">
        <v>0</v>
      </c>
      <c r="I333">
        <v>241</v>
      </c>
      <c r="J333">
        <v>204</v>
      </c>
      <c r="K333">
        <v>2</v>
      </c>
      <c r="L333" t="str">
        <v>N/A</v>
      </c>
      <c r="N333" t="str">
        <f>VLOOKUP(B333,Hoja1!$B$1:$C$25,2,0)</f>
        <v>LUISA FERNANDA MEJIA CORREA</v>
      </c>
      <c r="O333" t="str">
        <f>VLOOKUP(A333,#REF!,22,0)</f>
        <v>#REF!</v>
      </c>
    </row>
    <row r="334">
      <c r="A334">
        <v>158</v>
      </c>
      <c r="B334" t="str">
        <v>NIDIA ESPINOSA RODRIGUEZ</v>
      </c>
      <c r="C334" t="str">
        <v>NO</v>
      </c>
      <c r="D334">
        <v>120</v>
      </c>
      <c r="E334">
        <v>49</v>
      </c>
      <c r="F334">
        <v>0</v>
      </c>
      <c r="G334">
        <v>0</v>
      </c>
      <c r="H334">
        <v>0</v>
      </c>
      <c r="I334">
        <v>169</v>
      </c>
      <c r="J334">
        <v>175</v>
      </c>
      <c r="K334">
        <v>2</v>
      </c>
      <c r="L334">
        <f>I334-J334</f>
        <v>-6</v>
      </c>
      <c r="N334" t="str">
        <f>VLOOKUP(B334,Hoja1!$B$1:$C$25,2,0)</f>
        <v>LUISA FERNANDA MEJIA CORREA</v>
      </c>
      <c r="O334" t="str">
        <f>VLOOKUP(A334,#REF!,22,0)</f>
        <v>#REF!</v>
      </c>
    </row>
    <row r="335">
      <c r="A335">
        <v>159</v>
      </c>
      <c r="B335" t="str">
        <v>NIDIA ESPINOSA RODRIGUEZ</v>
      </c>
      <c r="C335" t="str">
        <v>SI</v>
      </c>
      <c r="D335">
        <v>28</v>
      </c>
      <c r="E335">
        <v>6</v>
      </c>
      <c r="F335">
        <v>0</v>
      </c>
      <c r="G335">
        <v>0</v>
      </c>
      <c r="H335">
        <v>0</v>
      </c>
      <c r="I335">
        <v>34</v>
      </c>
      <c r="J335">
        <v>0</v>
      </c>
      <c r="K335" t="str">
        <v>CAS</v>
      </c>
      <c r="L335">
        <f>I335-J335</f>
        <v>34</v>
      </c>
      <c r="M335">
        <v>45000</v>
      </c>
      <c r="N335" t="str">
        <f>VLOOKUP(B335,Hoja1!$B$1:$C$25,2,0)</f>
        <v>LUISA FERNANDA MEJIA CORREA</v>
      </c>
      <c r="O335" t="str">
        <f>VLOOKUP(A335,#REF!,22,0)</f>
        <v>#REF!</v>
      </c>
    </row>
    <row r="336">
      <c r="A336">
        <v>180</v>
      </c>
      <c r="B336" t="str">
        <v>NIDIA ESPINOSA RODRIGUEZ</v>
      </c>
      <c r="C336" t="str">
        <v>NO</v>
      </c>
      <c r="D336">
        <v>38</v>
      </c>
      <c r="E336">
        <v>142</v>
      </c>
      <c r="F336">
        <v>0</v>
      </c>
      <c r="G336">
        <v>0</v>
      </c>
      <c r="H336">
        <v>0</v>
      </c>
      <c r="I336">
        <v>180</v>
      </c>
      <c r="J336">
        <v>0</v>
      </c>
      <c r="K336">
        <v>0</v>
      </c>
      <c r="L336">
        <f>I336-J336</f>
        <v>180</v>
      </c>
      <c r="M336">
        <v>45000</v>
      </c>
      <c r="N336" t="str">
        <f>VLOOKUP(B336,Hoja1!$B$1:$C$25,2,0)</f>
        <v>LUISA FERNANDA MEJIA CORREA</v>
      </c>
      <c r="O336" t="str">
        <f>VLOOKUP(A336,#REF!,22,0)</f>
        <v>#REF!</v>
      </c>
    </row>
    <row r="337">
      <c r="A337">
        <v>181</v>
      </c>
      <c r="B337" t="str">
        <v>NIDIA ESPINOSA RODRIGUEZ</v>
      </c>
      <c r="C337" t="str">
        <v>NO</v>
      </c>
      <c r="D337">
        <v>297</v>
      </c>
      <c r="E337">
        <v>228</v>
      </c>
      <c r="F337">
        <v>600</v>
      </c>
      <c r="G337">
        <v>0</v>
      </c>
      <c r="H337">
        <v>330</v>
      </c>
      <c r="I337">
        <v>1455</v>
      </c>
      <c r="J337">
        <v>364</v>
      </c>
      <c r="K337">
        <v>3</v>
      </c>
      <c r="L337">
        <f>I337-J337</f>
        <v>1091</v>
      </c>
      <c r="M337">
        <v>45016</v>
      </c>
      <c r="N337" t="str">
        <f>VLOOKUP(B337,Hoja1!$B$1:$C$25,2,0)</f>
        <v>LUISA FERNANDA MEJIA CORREA</v>
      </c>
      <c r="O337" t="str">
        <f>VLOOKUP(A337,#REF!,22,0)</f>
        <v>#REF!</v>
      </c>
    </row>
    <row r="338">
      <c r="A338">
        <v>182</v>
      </c>
      <c r="B338" t="str">
        <v>NIDIA ESPINOSA RODRIGUEZ</v>
      </c>
      <c r="C338" t="str">
        <v>SI</v>
      </c>
      <c r="D338">
        <v>7</v>
      </c>
      <c r="E338">
        <v>20</v>
      </c>
      <c r="F338">
        <v>0</v>
      </c>
      <c r="G338">
        <v>0</v>
      </c>
      <c r="H338">
        <v>0</v>
      </c>
      <c r="I338">
        <v>27</v>
      </c>
      <c r="J338">
        <v>0</v>
      </c>
      <c r="K338" t="str">
        <v>CAS</v>
      </c>
      <c r="L338">
        <f>I338-J338</f>
        <v>27</v>
      </c>
      <c r="M338">
        <v>45000</v>
      </c>
      <c r="N338" t="str">
        <f>VLOOKUP(B338,Hoja1!$B$1:$C$25,2,0)</f>
        <v>LUISA FERNANDA MEJIA CORREA</v>
      </c>
      <c r="O338" t="str">
        <f>VLOOKUP(A338,#REF!,22,0)</f>
        <v>#REF!</v>
      </c>
    </row>
    <row r="339">
      <c r="A339">
        <v>190</v>
      </c>
      <c r="B339" t="str">
        <v>NIDIA ESPINOSA RODRIGUEZ</v>
      </c>
      <c r="J339">
        <v>0</v>
      </c>
      <c r="N339" t="str">
        <f>VLOOKUP(B339,Hoja1!$B$1:$C$25,2,0)</f>
        <v>LUISA FERNANDA MEJIA CORREA</v>
      </c>
      <c r="O339" t="str">
        <f>VLOOKUP(A339,#REF!,22,0)</f>
        <v>#REF!</v>
      </c>
    </row>
    <row r="340">
      <c r="A340">
        <v>218</v>
      </c>
      <c r="B340" t="str">
        <v>NIDIA ESPINOSA RODRIGUEZ</v>
      </c>
      <c r="C340" t="str">
        <v>SI</v>
      </c>
      <c r="D340">
        <v>26</v>
      </c>
      <c r="E340">
        <v>15</v>
      </c>
      <c r="F340">
        <v>0</v>
      </c>
      <c r="G340">
        <v>0</v>
      </c>
      <c r="H340">
        <v>0</v>
      </c>
      <c r="I340">
        <v>41</v>
      </c>
      <c r="J340">
        <v>0</v>
      </c>
      <c r="K340">
        <v>0</v>
      </c>
      <c r="L340">
        <f>I340-J340</f>
        <v>41</v>
      </c>
      <c r="M340">
        <v>44985</v>
      </c>
      <c r="N340" t="str">
        <f>VLOOKUP(B340,Hoja1!$B$1:$C$25,2,0)</f>
        <v>LUISA FERNANDA MEJIA CORREA</v>
      </c>
      <c r="O340" t="str">
        <f>VLOOKUP(A340,#REF!,22,0)</f>
        <v>#REF!</v>
      </c>
    </row>
    <row r="341">
      <c r="A341">
        <v>270</v>
      </c>
      <c r="B341" t="str">
        <v>NIDIA ESPINOSA RODRIGUEZ</v>
      </c>
      <c r="C341" t="str">
        <v>SI</v>
      </c>
      <c r="D341" t="e">
        <v>#N/A</v>
      </c>
      <c r="E341" t="e">
        <v>#N/A</v>
      </c>
      <c r="F341">
        <v>0</v>
      </c>
      <c r="G341">
        <v>0</v>
      </c>
      <c r="H341">
        <v>0</v>
      </c>
      <c r="I341" t="e">
        <v>#N/A</v>
      </c>
      <c r="J341">
        <v>0</v>
      </c>
      <c r="K341">
        <v>0</v>
      </c>
      <c r="L341" t="str">
        <v>N/A</v>
      </c>
      <c r="N341" t="str">
        <f>VLOOKUP(B341,Hoja1!$B$1:$C$25,2,0)</f>
        <v>LUISA FERNANDA MEJIA CORREA</v>
      </c>
      <c r="O341" t="str">
        <f>VLOOKUP(A341,#REF!,22,0)</f>
        <v>#REF!</v>
      </c>
    </row>
    <row r="342">
      <c r="A342" t="str">
        <v>119A</v>
      </c>
      <c r="B342" t="str">
        <v>NIDIA ESPINOSA RODRIGUEZ</v>
      </c>
      <c r="C342" t="str">
        <v>NO</v>
      </c>
      <c r="D342">
        <v>518</v>
      </c>
      <c r="E342">
        <v>219</v>
      </c>
      <c r="F342">
        <v>0</v>
      </c>
      <c r="G342">
        <v>0</v>
      </c>
      <c r="H342">
        <v>0</v>
      </c>
      <c r="I342">
        <v>737</v>
      </c>
      <c r="J342">
        <v>188</v>
      </c>
      <c r="K342">
        <v>2</v>
      </c>
      <c r="L342" t="str">
        <v>N/A</v>
      </c>
      <c r="N342" t="str">
        <f>VLOOKUP(B342,Hoja1!$B$1:$C$25,2,0)</f>
        <v>LUISA FERNANDA MEJIA CORREA</v>
      </c>
      <c r="O342" t="str">
        <f>VLOOKUP(A342,#REF!,22,0)</f>
        <v>#REF!</v>
      </c>
    </row>
    <row r="343">
      <c r="A343" t="str">
        <v>158A</v>
      </c>
      <c r="B343" t="str">
        <v>NIDIA ESPINOSA RODRIGUEZ</v>
      </c>
      <c r="C343" t="str">
        <v>NO</v>
      </c>
      <c r="D343">
        <v>208</v>
      </c>
      <c r="E343">
        <v>133</v>
      </c>
      <c r="F343">
        <v>0</v>
      </c>
      <c r="G343">
        <v>0</v>
      </c>
      <c r="H343">
        <v>0</v>
      </c>
      <c r="I343">
        <v>341</v>
      </c>
      <c r="J343">
        <v>63</v>
      </c>
      <c r="K343">
        <v>3</v>
      </c>
      <c r="L343">
        <f>I343-J343</f>
        <v>278</v>
      </c>
      <c r="M343">
        <v>44985</v>
      </c>
      <c r="N343" t="str">
        <f>VLOOKUP(B343,Hoja1!$B$1:$C$25,2,0)</f>
        <v>LUISA FERNANDA MEJIA CORREA</v>
      </c>
      <c r="O343" t="str">
        <f>VLOOKUP(A343,#REF!,22,0)</f>
        <v>#REF!</v>
      </c>
    </row>
    <row r="344">
      <c r="A344" t="str">
        <v>158B</v>
      </c>
      <c r="B344" t="str">
        <v>NIDIA ESPINOSA RODRIGUEZ</v>
      </c>
      <c r="C344" t="str">
        <v>NO</v>
      </c>
      <c r="D344">
        <v>48</v>
      </c>
      <c r="E344">
        <v>7</v>
      </c>
      <c r="F344">
        <v>0</v>
      </c>
      <c r="G344">
        <v>0</v>
      </c>
      <c r="H344">
        <v>0</v>
      </c>
      <c r="I344">
        <v>55</v>
      </c>
      <c r="J344">
        <v>39</v>
      </c>
      <c r="K344">
        <v>1</v>
      </c>
      <c r="L344">
        <f>I344-J344</f>
        <v>16</v>
      </c>
      <c r="M344">
        <v>44985</v>
      </c>
      <c r="N344" t="str">
        <f>VLOOKUP(B344,Hoja1!$B$1:$C$25,2,0)</f>
        <v>LUISA FERNANDA MEJIA CORREA</v>
      </c>
      <c r="O344" t="str">
        <f>VLOOKUP(A344,#REF!,22,0)</f>
        <v>#REF!</v>
      </c>
    </row>
    <row r="345">
      <c r="A345" t="str">
        <v>158C</v>
      </c>
      <c r="B345" t="str">
        <v>NIDIA ESPINOSA RODRIGUEZ</v>
      </c>
      <c r="C345" t="str">
        <v>NO</v>
      </c>
      <c r="D345">
        <v>144</v>
      </c>
      <c r="E345">
        <v>122</v>
      </c>
      <c r="F345">
        <v>0</v>
      </c>
      <c r="G345">
        <v>0</v>
      </c>
      <c r="H345">
        <v>0</v>
      </c>
      <c r="I345">
        <v>266</v>
      </c>
      <c r="J345">
        <v>97</v>
      </c>
      <c r="K345">
        <v>2</v>
      </c>
      <c r="L345">
        <f>I345-J345</f>
        <v>169</v>
      </c>
      <c r="M345">
        <v>45000</v>
      </c>
      <c r="N345" t="str">
        <f>VLOOKUP(B345,Hoja1!$B$1:$C$25,2,0)</f>
        <v>LUISA FERNANDA MEJIA CORREA</v>
      </c>
      <c r="O345" t="str">
        <f>VLOOKUP(A345,#REF!,22,0)</f>
        <v>#REF!</v>
      </c>
    </row>
    <row r="346">
      <c r="A346" t="str">
        <v>158D</v>
      </c>
      <c r="B346" t="str">
        <v>NIDIA ESPINOSA RODRIGUEZ</v>
      </c>
      <c r="C346" t="str">
        <v>NO</v>
      </c>
      <c r="D346">
        <v>272</v>
      </c>
      <c r="E346">
        <v>70</v>
      </c>
      <c r="F346">
        <v>0</v>
      </c>
      <c r="G346">
        <v>0</v>
      </c>
      <c r="H346">
        <v>0</v>
      </c>
      <c r="I346">
        <v>342</v>
      </c>
      <c r="J346">
        <v>284</v>
      </c>
      <c r="K346">
        <v>2</v>
      </c>
      <c r="L346">
        <f>I346-J346</f>
        <v>58</v>
      </c>
      <c r="M346">
        <v>44985</v>
      </c>
      <c r="N346" t="str">
        <f>VLOOKUP(B346,Hoja1!$B$1:$C$25,2,0)</f>
        <v>LUISA FERNANDA MEJIA CORREA</v>
      </c>
      <c r="O346" t="str">
        <f>VLOOKUP(A346,#REF!,22,0)</f>
        <v>#REF!</v>
      </c>
    </row>
    <row r="347">
      <c r="A347">
        <v>355</v>
      </c>
      <c r="B347" t="str">
        <v>NIDIA ESPINOSA RODRIGUEZ</v>
      </c>
      <c r="J347">
        <v>221</v>
      </c>
      <c r="L347" t="str">
        <v>N/A</v>
      </c>
      <c r="N347" t="str">
        <f>VLOOKUP(B347,Hoja1!$B$1:$C$25,2,0)</f>
        <v>LUISA FERNANDA MEJIA CORREA</v>
      </c>
      <c r="O347" t="str">
        <f>VLOOKUP(A347,#REF!,22,0)</f>
        <v>#REF!</v>
      </c>
    </row>
    <row r="348">
      <c r="A348">
        <v>32</v>
      </c>
      <c r="B348" t="str">
        <v>RODRIGO ANDRES PITO MENESES</v>
      </c>
      <c r="C348" t="str">
        <v>NO</v>
      </c>
      <c r="D348">
        <v>232</v>
      </c>
      <c r="E348">
        <v>59</v>
      </c>
      <c r="F348">
        <v>246</v>
      </c>
      <c r="G348">
        <v>0</v>
      </c>
      <c r="H348">
        <v>120</v>
      </c>
      <c r="I348">
        <v>657</v>
      </c>
      <c r="J348">
        <v>0</v>
      </c>
      <c r="K348">
        <v>2</v>
      </c>
      <c r="L348">
        <f>I348-J348</f>
        <v>657</v>
      </c>
      <c r="M348" t="str">
        <v>31/04/2023</v>
      </c>
      <c r="N348" t="str">
        <f>VLOOKUP(B348,Hoja1!$B$1:$C$25,2,0)</f>
        <v>LUISA FERNANDA MEJIA CORREA</v>
      </c>
      <c r="O348" t="str">
        <f>VLOOKUP(A348,#REF!,22,0)</f>
        <v>#REF!</v>
      </c>
    </row>
    <row r="349">
      <c r="A349">
        <v>75</v>
      </c>
      <c r="B349" t="str">
        <v>RODRIGO ANDRES PITO MENESES</v>
      </c>
      <c r="C349" t="str">
        <v>NO</v>
      </c>
      <c r="D349">
        <v>66</v>
      </c>
      <c r="E349">
        <v>43</v>
      </c>
      <c r="F349">
        <v>0</v>
      </c>
      <c r="G349">
        <v>0</v>
      </c>
      <c r="H349">
        <v>0</v>
      </c>
      <c r="I349">
        <v>109</v>
      </c>
      <c r="J349">
        <v>26</v>
      </c>
      <c r="K349">
        <v>6</v>
      </c>
      <c r="L349" t="str">
        <v>N/A</v>
      </c>
      <c r="N349" t="str">
        <f>VLOOKUP(B349,Hoja1!$B$1:$C$25,2,0)</f>
        <v>LUISA FERNANDA MEJIA CORREA</v>
      </c>
      <c r="O349" t="str">
        <f>VLOOKUP(A349,#REF!,22,0)</f>
        <v>#REF!</v>
      </c>
    </row>
    <row r="350">
      <c r="A350">
        <v>76</v>
      </c>
      <c r="B350" t="str">
        <v>RODRIGO ANDRES PITO MENESES</v>
      </c>
      <c r="C350" t="str">
        <v>SI</v>
      </c>
      <c r="D350">
        <v>16</v>
      </c>
      <c r="E350">
        <v>1</v>
      </c>
      <c r="F350">
        <v>0</v>
      </c>
      <c r="G350">
        <v>0</v>
      </c>
      <c r="H350">
        <v>0</v>
      </c>
      <c r="I350">
        <v>17</v>
      </c>
      <c r="J350">
        <v>0</v>
      </c>
      <c r="K350">
        <v>0</v>
      </c>
      <c r="L350">
        <v>0</v>
      </c>
      <c r="N350" t="str">
        <f>VLOOKUP(B350,Hoja1!$B$1:$C$25,2,0)</f>
        <v>LUISA FERNANDA MEJIA CORREA</v>
      </c>
      <c r="O350" t="str">
        <f>VLOOKUP(A350,#REF!,22,0)</f>
        <v>#REF!</v>
      </c>
    </row>
    <row r="351">
      <c r="A351">
        <v>77</v>
      </c>
      <c r="B351" t="str">
        <v>RODRIGO ANDRES PITO MENESES</v>
      </c>
      <c r="C351" t="str">
        <v>NO</v>
      </c>
      <c r="D351">
        <v>86</v>
      </c>
      <c r="E351">
        <v>11</v>
      </c>
      <c r="F351">
        <v>0</v>
      </c>
      <c r="G351">
        <v>0</v>
      </c>
      <c r="H351">
        <v>0</v>
      </c>
      <c r="I351">
        <v>97</v>
      </c>
      <c r="J351">
        <v>429</v>
      </c>
      <c r="K351">
        <v>1</v>
      </c>
      <c r="L351" t="str">
        <v>N/A</v>
      </c>
      <c r="N351" t="str">
        <f>VLOOKUP(B351,Hoja1!$B$1:$C$25,2,0)</f>
        <v>LUISA FERNANDA MEJIA CORREA</v>
      </c>
      <c r="O351" t="str">
        <f>VLOOKUP(A351,#REF!,22,0)</f>
        <v>#REF!</v>
      </c>
    </row>
    <row r="352">
      <c r="A352">
        <v>78</v>
      </c>
      <c r="B352" t="str">
        <v>RODRIGO ANDRES PITO MENESES</v>
      </c>
      <c r="C352" t="str">
        <v>NO</v>
      </c>
      <c r="D352">
        <v>65</v>
      </c>
      <c r="E352">
        <v>80</v>
      </c>
      <c r="F352">
        <v>0</v>
      </c>
      <c r="G352">
        <v>0</v>
      </c>
      <c r="H352">
        <v>0</v>
      </c>
      <c r="I352">
        <v>145</v>
      </c>
      <c r="J352">
        <v>28</v>
      </c>
      <c r="K352">
        <v>2</v>
      </c>
      <c r="L352" t="str">
        <v>N/A</v>
      </c>
      <c r="N352" t="str">
        <f>VLOOKUP(B352,Hoja1!$B$1:$C$25,2,0)</f>
        <v>LUISA FERNANDA MEJIA CORREA</v>
      </c>
      <c r="O352" t="str">
        <f>VLOOKUP(A352,#REF!,22,0)</f>
        <v>#REF!</v>
      </c>
    </row>
    <row r="353">
      <c r="A353">
        <v>149</v>
      </c>
      <c r="B353" t="str">
        <v>RODRIGO ANDRES PITO MENESES</v>
      </c>
      <c r="C353" t="str">
        <v>NO</v>
      </c>
      <c r="D353">
        <v>155</v>
      </c>
      <c r="E353">
        <v>104</v>
      </c>
      <c r="F353">
        <v>0</v>
      </c>
      <c r="G353">
        <v>0</v>
      </c>
      <c r="H353">
        <v>0</v>
      </c>
      <c r="I353">
        <v>259</v>
      </c>
      <c r="J353">
        <v>0</v>
      </c>
      <c r="K353">
        <v>4</v>
      </c>
      <c r="L353">
        <f>I353-J353</f>
        <v>259</v>
      </c>
      <c r="M353">
        <v>45000</v>
      </c>
      <c r="N353" t="str">
        <f>VLOOKUP(B353,Hoja1!$B$1:$C$25,2,0)</f>
        <v>LUISA FERNANDA MEJIA CORREA</v>
      </c>
      <c r="O353" t="str">
        <f>VLOOKUP(A353,#REF!,22,0)</f>
        <v>#REF!</v>
      </c>
    </row>
    <row r="354">
      <c r="A354">
        <v>150</v>
      </c>
      <c r="B354" t="str">
        <v>RODRIGO ANDRES PITO MENESES</v>
      </c>
      <c r="C354" t="str">
        <v>NO</v>
      </c>
      <c r="D354">
        <v>60</v>
      </c>
      <c r="E354">
        <v>52</v>
      </c>
      <c r="F354">
        <v>0</v>
      </c>
      <c r="G354">
        <v>0</v>
      </c>
      <c r="H354">
        <v>0</v>
      </c>
      <c r="I354">
        <v>112</v>
      </c>
      <c r="J354">
        <v>116</v>
      </c>
      <c r="K354">
        <v>2</v>
      </c>
      <c r="L354" t="str">
        <v>N/A</v>
      </c>
      <c r="N354" t="str">
        <f>VLOOKUP(B354,Hoja1!$B$1:$C$25,2,0)</f>
        <v>LUISA FERNANDA MEJIA CORREA</v>
      </c>
      <c r="O354" t="str">
        <f>VLOOKUP(A354,#REF!,22,0)</f>
        <v>#REF!</v>
      </c>
    </row>
    <row r="355">
      <c r="A355">
        <v>152</v>
      </c>
      <c r="B355" t="str">
        <v>RODRIGO ANDRES PITO MENESES</v>
      </c>
      <c r="C355" t="str">
        <v>SI</v>
      </c>
      <c r="D355">
        <v>41</v>
      </c>
      <c r="E355">
        <v>0</v>
      </c>
      <c r="F355">
        <v>0</v>
      </c>
      <c r="G355">
        <v>0</v>
      </c>
      <c r="H355">
        <v>0</v>
      </c>
      <c r="I355">
        <v>41</v>
      </c>
      <c r="J355">
        <v>0</v>
      </c>
      <c r="K355">
        <v>0</v>
      </c>
      <c r="L355">
        <v>0</v>
      </c>
      <c r="N355" t="str">
        <f>VLOOKUP(B355,Hoja1!$B$1:$C$25,2,0)</f>
        <v>LUISA FERNANDA MEJIA CORREA</v>
      </c>
      <c r="O355" t="str">
        <f>VLOOKUP(A355,#REF!,22,0)</f>
        <v>#REF!</v>
      </c>
    </row>
    <row r="356">
      <c r="A356">
        <v>201</v>
      </c>
      <c r="B356" t="str">
        <v>RODRIGO ANDRES PITO MENESES</v>
      </c>
      <c r="C356">
        <v>0</v>
      </c>
      <c r="D356">
        <v>0</v>
      </c>
      <c r="E356">
        <v>0</v>
      </c>
      <c r="F356">
        <v>725</v>
      </c>
      <c r="G356">
        <v>0</v>
      </c>
      <c r="H356">
        <v>0</v>
      </c>
      <c r="I356">
        <v>725</v>
      </c>
      <c r="J356">
        <v>0</v>
      </c>
      <c r="K356">
        <v>0</v>
      </c>
      <c r="L356">
        <f>I356-J356</f>
        <v>725</v>
      </c>
      <c r="M356">
        <v>45046</v>
      </c>
      <c r="N356" t="str">
        <f>VLOOKUP(B356,Hoja1!$B$1:$C$25,2,0)</f>
        <v>LUISA FERNANDA MEJIA CORREA</v>
      </c>
      <c r="O356" t="str">
        <f>VLOOKUP(A356,#REF!,22,0)</f>
        <v>#REF!</v>
      </c>
    </row>
    <row r="357">
      <c r="A357">
        <v>206</v>
      </c>
      <c r="B357" t="str">
        <v>RODRIGO ANDRES PITO MENESES</v>
      </c>
      <c r="C357" t="str">
        <v>NO</v>
      </c>
      <c r="D357">
        <v>183</v>
      </c>
      <c r="E357">
        <v>96</v>
      </c>
      <c r="F357">
        <v>0</v>
      </c>
      <c r="G357">
        <v>0</v>
      </c>
      <c r="H357">
        <v>0</v>
      </c>
      <c r="I357">
        <v>279</v>
      </c>
      <c r="J357">
        <v>157</v>
      </c>
      <c r="K357">
        <v>3</v>
      </c>
      <c r="L357" t="str">
        <v>N/A</v>
      </c>
      <c r="N357" t="str">
        <f>VLOOKUP(B357,Hoja1!$B$1:$C$25,2,0)</f>
        <v>LUISA FERNANDA MEJIA CORREA</v>
      </c>
      <c r="O357" t="str">
        <f>VLOOKUP(A357,#REF!,22,0)</f>
        <v>#REF!</v>
      </c>
    </row>
    <row r="358">
      <c r="A358">
        <v>242</v>
      </c>
      <c r="B358" t="str">
        <v>RODRIGO ANDRES PITO MENESES</v>
      </c>
      <c r="C358" t="str">
        <v>SI</v>
      </c>
      <c r="D358">
        <v>2</v>
      </c>
      <c r="E358">
        <v>104</v>
      </c>
      <c r="F358">
        <v>0</v>
      </c>
      <c r="G358">
        <v>0</v>
      </c>
      <c r="H358">
        <v>0</v>
      </c>
      <c r="I358">
        <v>106</v>
      </c>
      <c r="J358">
        <v>0</v>
      </c>
      <c r="K358">
        <v>0</v>
      </c>
      <c r="L358">
        <f>I358-J358</f>
        <v>106</v>
      </c>
      <c r="M358">
        <v>45046</v>
      </c>
      <c r="N358" t="str">
        <f>VLOOKUP(B358,Hoja1!$B$1:$C$25,2,0)</f>
        <v>LUISA FERNANDA MEJIA CORREA</v>
      </c>
      <c r="O358" t="str">
        <f>VLOOKUP(A358,#REF!,22,0)</f>
        <v>#REF!</v>
      </c>
    </row>
    <row r="359">
      <c r="A359">
        <v>262</v>
      </c>
      <c r="B359" t="str">
        <v>RODRIGO ANDRES PITO MENESES</v>
      </c>
      <c r="C359" t="str">
        <v>NO</v>
      </c>
      <c r="D359" t="e">
        <v>#N/A</v>
      </c>
      <c r="E359" t="e">
        <v>#N/A</v>
      </c>
      <c r="F359">
        <v>0</v>
      </c>
      <c r="G359">
        <v>0</v>
      </c>
      <c r="H359">
        <v>0</v>
      </c>
      <c r="I359" t="e">
        <v>#N/A</v>
      </c>
      <c r="J359">
        <v>0</v>
      </c>
      <c r="K359">
        <v>0</v>
      </c>
      <c r="L359">
        <v>0</v>
      </c>
      <c r="N359" t="str">
        <f>VLOOKUP(B359,Hoja1!$B$1:$C$25,2,0)</f>
        <v>LUISA FERNANDA MEJIA CORREA</v>
      </c>
      <c r="O359" t="str">
        <f>VLOOKUP(A359,#REF!,22,0)</f>
        <v>#REF!</v>
      </c>
    </row>
    <row r="360">
      <c r="A360" t="str">
        <v>149A</v>
      </c>
      <c r="B360" t="str">
        <v>RODRIGO ANDRES PITO MENESES</v>
      </c>
      <c r="C360" t="str">
        <v>NO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138</v>
      </c>
      <c r="K360">
        <v>0</v>
      </c>
      <c r="L360" t="str">
        <v>N/A</v>
      </c>
      <c r="N360" t="str">
        <f>VLOOKUP(B360,Hoja1!$B$1:$C$25,2,0)</f>
        <v>LUISA FERNANDA MEJIA CORREA</v>
      </c>
      <c r="O360" t="str">
        <f>VLOOKUP(A360,#REF!,22,0)</f>
        <v>#REF!</v>
      </c>
    </row>
    <row r="361">
      <c r="A361" t="str">
        <v>75A</v>
      </c>
      <c r="B361" t="str">
        <v>RODRIGO ANDRES PITO MENESES</v>
      </c>
      <c r="C361" t="str">
        <v>NO</v>
      </c>
      <c r="D361">
        <v>135</v>
      </c>
      <c r="E361">
        <v>146</v>
      </c>
      <c r="F361">
        <v>0</v>
      </c>
      <c r="G361">
        <v>0</v>
      </c>
      <c r="H361">
        <v>0</v>
      </c>
      <c r="I361">
        <v>281</v>
      </c>
      <c r="J361">
        <v>233</v>
      </c>
      <c r="K361">
        <v>0</v>
      </c>
      <c r="L361" t="str">
        <v>N/A</v>
      </c>
      <c r="N361" t="str">
        <f>VLOOKUP(B361,Hoja1!$B$1:$C$25,2,0)</f>
        <v>LUISA FERNANDA MEJIA CORREA</v>
      </c>
      <c r="O361" t="str">
        <f>VLOOKUP(A361,#REF!,22,0)</f>
        <v>#REF!</v>
      </c>
    </row>
    <row r="362">
      <c r="A362">
        <v>350</v>
      </c>
      <c r="B362" t="str">
        <v>RODRIGO ANDRES PITO MENESES</v>
      </c>
      <c r="J362">
        <v>0</v>
      </c>
      <c r="N362" t="str">
        <f>VLOOKUP(B362,Hoja1!$B$1:$C$25,2,0)</f>
        <v>LUISA FERNANDA MEJIA CORREA</v>
      </c>
      <c r="O362" t="str">
        <f>VLOOKUP(A362,#REF!,22,0)</f>
        <v>#REF!</v>
      </c>
    </row>
    <row r="363">
      <c r="A363">
        <v>21</v>
      </c>
      <c r="B363" t="str">
        <v>SHIRLEY JUHA PEÑA</v>
      </c>
      <c r="C363" t="str">
        <v>NO</v>
      </c>
      <c r="D363">
        <v>613</v>
      </c>
      <c r="E363">
        <v>87</v>
      </c>
      <c r="F363">
        <v>12</v>
      </c>
      <c r="G363">
        <v>77</v>
      </c>
      <c r="H363">
        <v>1</v>
      </c>
      <c r="I363">
        <v>790</v>
      </c>
      <c r="J363">
        <v>284</v>
      </c>
      <c r="K363">
        <v>6</v>
      </c>
      <c r="L363">
        <f>I363-J363</f>
        <v>506</v>
      </c>
      <c r="M363">
        <v>45000</v>
      </c>
      <c r="N363" t="str">
        <f>VLOOKUP(B363,Hoja1!$B$1:$C$25,2,0)</f>
        <v>LUISA FERNANDA MEJIA CORREA</v>
      </c>
      <c r="O363" t="str">
        <f>VLOOKUP(A363,#REF!,22,0)</f>
        <v>#REF!</v>
      </c>
    </row>
    <row r="364">
      <c r="A364">
        <v>251</v>
      </c>
      <c r="B364" t="str">
        <v>SHIRLEY JUHA PEÑA</v>
      </c>
      <c r="C364" t="str">
        <v>NO</v>
      </c>
      <c r="D364" t="e">
        <v>#N/A</v>
      </c>
      <c r="E364" t="e">
        <v>#N/A</v>
      </c>
      <c r="F364">
        <v>0</v>
      </c>
      <c r="G364">
        <v>0</v>
      </c>
      <c r="H364">
        <v>0</v>
      </c>
      <c r="I364" t="e">
        <v>#N/A</v>
      </c>
      <c r="J364">
        <v>4</v>
      </c>
      <c r="K364">
        <v>1</v>
      </c>
      <c r="L364" t="str">
        <v>N/A</v>
      </c>
      <c r="M364">
        <v>44985</v>
      </c>
      <c r="N364" t="str">
        <f>VLOOKUP(B364,Hoja1!$B$1:$C$25,2,0)</f>
        <v>LUISA FERNANDA MEJIA CORREA</v>
      </c>
      <c r="O364" t="str">
        <f>VLOOKUP(A364,#REF!,22,0)</f>
        <v>#REF!</v>
      </c>
    </row>
    <row r="365">
      <c r="A365">
        <v>272</v>
      </c>
      <c r="B365" t="str">
        <v>SHIRLEY JUHA PEÑA</v>
      </c>
      <c r="C365" t="str">
        <v>NO</v>
      </c>
      <c r="D365" t="e">
        <v>#N/A</v>
      </c>
      <c r="E365" t="e">
        <v>#N/A</v>
      </c>
      <c r="F365">
        <v>78</v>
      </c>
      <c r="G365">
        <v>19</v>
      </c>
      <c r="H365">
        <v>4</v>
      </c>
      <c r="I365" t="e">
        <v>#N/A</v>
      </c>
      <c r="J365">
        <v>54</v>
      </c>
      <c r="K365">
        <v>1</v>
      </c>
      <c r="L365" t="str">
        <v>N/A</v>
      </c>
      <c r="M365">
        <v>44985</v>
      </c>
      <c r="N365" t="str">
        <f>VLOOKUP(B365,Hoja1!$B$1:$C$25,2,0)</f>
        <v>LUISA FERNANDA MEJIA CORREA</v>
      </c>
      <c r="O365" t="str">
        <f>VLOOKUP(A365,#REF!,22,0)</f>
        <v>#REF!</v>
      </c>
    </row>
    <row r="366">
      <c r="A366">
        <v>274</v>
      </c>
      <c r="B366" t="str">
        <v>SHIRLEY JUHA PEÑA</v>
      </c>
      <c r="C366" t="str">
        <v>NO</v>
      </c>
      <c r="D366" t="e">
        <v>#N/A</v>
      </c>
      <c r="E366">
        <v>78</v>
      </c>
      <c r="F366">
        <v>56</v>
      </c>
      <c r="G366">
        <v>54</v>
      </c>
      <c r="H366">
        <v>2</v>
      </c>
      <c r="I366" t="e">
        <v>#N/A</v>
      </c>
      <c r="J366">
        <v>215</v>
      </c>
      <c r="K366">
        <v>1</v>
      </c>
      <c r="L366" t="str">
        <v>N/A</v>
      </c>
      <c r="M366">
        <v>44985</v>
      </c>
      <c r="N366" t="str">
        <f>VLOOKUP(B366,Hoja1!$B$1:$C$25,2,0)</f>
        <v>LUISA FERNANDA MEJIA CORREA</v>
      </c>
      <c r="O366" t="str">
        <f>VLOOKUP(A366,#REF!,22,0)</f>
        <v>#REF!</v>
      </c>
    </row>
    <row r="367">
      <c r="A367">
        <v>289</v>
      </c>
      <c r="B367" t="str">
        <v>SHIRLEY JUHA PEÑA</v>
      </c>
      <c r="C367" t="str">
        <v>NO</v>
      </c>
      <c r="D367" t="e">
        <v>#N/A</v>
      </c>
      <c r="E367">
        <v>26</v>
      </c>
      <c r="G367">
        <v>26</v>
      </c>
      <c r="I367" t="e">
        <v>#N/A</v>
      </c>
      <c r="J367">
        <v>59</v>
      </c>
      <c r="K367">
        <v>1</v>
      </c>
      <c r="L367" t="str">
        <v>N/A</v>
      </c>
      <c r="N367" t="str">
        <f>VLOOKUP(B367,Hoja1!$B$1:$C$25,2,0)</f>
        <v>LUISA FERNANDA MEJIA CORREA</v>
      </c>
      <c r="O367" t="str">
        <f>VLOOKUP(A367,#REF!,22,0)</f>
        <v>#REF!</v>
      </c>
    </row>
    <row r="368">
      <c r="A368">
        <v>290</v>
      </c>
      <c r="B368" t="str">
        <v>SHIRLEY JUHA PEÑA</v>
      </c>
      <c r="C368" t="str">
        <v>NO</v>
      </c>
      <c r="D368">
        <v>84</v>
      </c>
      <c r="E368">
        <v>2</v>
      </c>
      <c r="F368">
        <v>84</v>
      </c>
      <c r="G368">
        <v>2</v>
      </c>
      <c r="I368" t="str">
        <v>#VALUE!</v>
      </c>
      <c r="J368">
        <v>71</v>
      </c>
      <c r="K368">
        <v>1</v>
      </c>
      <c r="L368" t="str">
        <v>N/A</v>
      </c>
      <c r="N368" t="str">
        <f>VLOOKUP(B368,Hoja1!$B$1:$C$25,2,0)</f>
        <v>LUISA FERNANDA MEJIA CORREA</v>
      </c>
      <c r="O368" t="str">
        <f>VLOOKUP(A368,#REF!,22,0)</f>
        <v>#REF!</v>
      </c>
    </row>
    <row r="369">
      <c r="A369">
        <v>303</v>
      </c>
      <c r="B369" t="str">
        <v>SHIRLEY JUHA PEÑA</v>
      </c>
      <c r="C369" t="str">
        <v>NO</v>
      </c>
      <c r="D369">
        <v>116</v>
      </c>
      <c r="E369">
        <v>19</v>
      </c>
      <c r="F369">
        <v>116</v>
      </c>
      <c r="G369">
        <v>34</v>
      </c>
      <c r="H369">
        <v>15</v>
      </c>
      <c r="I369">
        <v>300</v>
      </c>
      <c r="J369">
        <v>28</v>
      </c>
      <c r="K369">
        <v>2</v>
      </c>
      <c r="L369">
        <f>I369-J369</f>
        <v>272</v>
      </c>
      <c r="M369">
        <v>44985</v>
      </c>
      <c r="N369" t="str">
        <f>VLOOKUP(B369,Hoja1!$B$1:$C$25,2,0)</f>
        <v>LUISA FERNANDA MEJIA CORREA</v>
      </c>
      <c r="O369" t="str">
        <f>VLOOKUP(A369,#REF!,22,0)</f>
        <v>#REF!</v>
      </c>
    </row>
    <row r="370">
      <c r="A370">
        <v>314</v>
      </c>
      <c r="B370" t="str">
        <v>SHIRLEY JUHA PEÑA</v>
      </c>
      <c r="C370" t="str">
        <v>NO</v>
      </c>
      <c r="D370" t="e">
        <v>#N/A</v>
      </c>
      <c r="E370" t="e">
        <v>#N/A</v>
      </c>
      <c r="I370" t="e">
        <v>#N/A</v>
      </c>
      <c r="J370">
        <v>9</v>
      </c>
      <c r="K370">
        <v>1</v>
      </c>
      <c r="L370" t="str">
        <v>N/A</v>
      </c>
      <c r="M370">
        <v>44985</v>
      </c>
      <c r="N370" t="str">
        <f>VLOOKUP(B370,Hoja1!$B$1:$C$25,2,0)</f>
        <v>LUISA FERNANDA MEJIA CORREA</v>
      </c>
      <c r="O370" t="str">
        <f>VLOOKUP(A370,#REF!,22,0)</f>
        <v>#REF!</v>
      </c>
    </row>
    <row r="371">
      <c r="A371" t="str">
        <v>21A</v>
      </c>
      <c r="B371" t="str">
        <v>SHIRLEY JUHA PEÑA</v>
      </c>
      <c r="C371" t="str">
        <v>NO</v>
      </c>
      <c r="D371">
        <v>309</v>
      </c>
      <c r="E371">
        <v>432</v>
      </c>
      <c r="F371">
        <v>54</v>
      </c>
      <c r="G371">
        <v>4</v>
      </c>
      <c r="H371">
        <v>24</v>
      </c>
      <c r="I371">
        <v>823</v>
      </c>
      <c r="J371">
        <v>220</v>
      </c>
      <c r="K371">
        <v>3</v>
      </c>
      <c r="L371">
        <f>I371-J371</f>
        <v>603</v>
      </c>
      <c r="M371">
        <v>45000</v>
      </c>
      <c r="N371" t="str">
        <f>VLOOKUP(B371,Hoja1!$B$1:$C$25,2,0)</f>
        <v>LUISA FERNANDA MEJIA CORREA</v>
      </c>
      <c r="O371" t="str">
        <f>VLOOKUP(A371,#REF!,22,0)</f>
        <v>#REF!</v>
      </c>
    </row>
  </sheetData>
  <autoFilter ref="$A$1:$O$371"/>
  <pageMargins left="0.7" right="0.7" top="0.75" bottom="0.75" header="0" footer="0"/>
  <ignoredErrors>
    <ignoredError numberStoredAsText="1" sqref="A1:O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Impresoras</vt:lpstr>
      <vt:lpstr>EquiposSena</vt:lpstr>
      <vt:lpstr>EquiposTelefonica</vt:lpstr>
      <vt:lpstr>Hoja3</vt:lpstr>
      <vt:lpstr>Registros Cambios</vt:lpstr>
      <vt:lpstr>Hoja2</vt:lpstr>
      <vt:lpstr>Hoja1</vt:lpstr>
      <vt:lpstr>FECHAS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