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ill\Desktop\CMDB_SENA\"/>
    </mc:Choice>
  </mc:AlternateContent>
  <xr:revisionPtr revIDLastSave="0" documentId="13_ncr:1_{B785A859-95E4-4292-8CAC-111B3C42CF6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quiposSena" sheetId="2" r:id="rId1"/>
    <sheet name="EquiposTelefonica" sheetId="3" r:id="rId2"/>
    <sheet name="Hoja3" sheetId="4" r:id="rId3"/>
    <sheet name="Hoja2" sheetId="6" state="hidden" r:id="rId4"/>
    <sheet name="Hoja1" sheetId="7" state="hidden" r:id="rId5"/>
    <sheet name="FECHAS" sheetId="8" state="hidden" r:id="rId6"/>
  </sheets>
  <definedNames>
    <definedName name="_xlnm._FilterDatabase" localSheetId="0" hidden="1">EquiposSena!$G$1:$G$997</definedName>
    <definedName name="_xlnm._FilterDatabase" localSheetId="5" hidden="1">FECHAS!$A$1:$O$371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71" i="8" l="1"/>
  <c r="N371" i="8"/>
  <c r="L371" i="8"/>
  <c r="O370" i="8"/>
  <c r="N370" i="8"/>
  <c r="O369" i="8"/>
  <c r="N369" i="8"/>
  <c r="L369" i="8"/>
  <c r="O368" i="8"/>
  <c r="N368" i="8"/>
  <c r="O367" i="8"/>
  <c r="N367" i="8"/>
  <c r="O366" i="8"/>
  <c r="N366" i="8"/>
  <c r="O365" i="8"/>
  <c r="N365" i="8"/>
  <c r="O364" i="8"/>
  <c r="N364" i="8"/>
  <c r="O363" i="8"/>
  <c r="N363" i="8"/>
  <c r="L363" i="8"/>
  <c r="O362" i="8"/>
  <c r="N362" i="8"/>
  <c r="O361" i="8"/>
  <c r="N361" i="8"/>
  <c r="O360" i="8"/>
  <c r="N360" i="8"/>
  <c r="O359" i="8"/>
  <c r="N359" i="8"/>
  <c r="O358" i="8"/>
  <c r="N358" i="8"/>
  <c r="L358" i="8"/>
  <c r="O357" i="8"/>
  <c r="N357" i="8"/>
  <c r="O356" i="8"/>
  <c r="N356" i="8"/>
  <c r="L356" i="8"/>
  <c r="O355" i="8"/>
  <c r="N355" i="8"/>
  <c r="O354" i="8"/>
  <c r="N354" i="8"/>
  <c r="O353" i="8"/>
  <c r="N353" i="8"/>
  <c r="L353" i="8"/>
  <c r="O352" i="8"/>
  <c r="N352" i="8"/>
  <c r="O351" i="8"/>
  <c r="N351" i="8"/>
  <c r="O350" i="8"/>
  <c r="N350" i="8"/>
  <c r="O349" i="8"/>
  <c r="N349" i="8"/>
  <c r="O348" i="8"/>
  <c r="N348" i="8"/>
  <c r="L348" i="8"/>
  <c r="O347" i="8"/>
  <c r="N347" i="8"/>
  <c r="O346" i="8"/>
  <c r="N346" i="8"/>
  <c r="L346" i="8"/>
  <c r="O345" i="8"/>
  <c r="N345" i="8"/>
  <c r="L345" i="8"/>
  <c r="O344" i="8"/>
  <c r="N344" i="8"/>
  <c r="L344" i="8"/>
  <c r="O343" i="8"/>
  <c r="N343" i="8"/>
  <c r="L343" i="8"/>
  <c r="O342" i="8"/>
  <c r="N342" i="8"/>
  <c r="O341" i="8"/>
  <c r="N341" i="8"/>
  <c r="O340" i="8"/>
  <c r="N340" i="8"/>
  <c r="L340" i="8"/>
  <c r="O339" i="8"/>
  <c r="N339" i="8"/>
  <c r="O338" i="8"/>
  <c r="N338" i="8"/>
  <c r="L338" i="8"/>
  <c r="O337" i="8"/>
  <c r="N337" i="8"/>
  <c r="L337" i="8"/>
  <c r="O336" i="8"/>
  <c r="N336" i="8"/>
  <c r="L336" i="8"/>
  <c r="O335" i="8"/>
  <c r="N335" i="8"/>
  <c r="L335" i="8"/>
  <c r="O334" i="8"/>
  <c r="N334" i="8"/>
  <c r="L334" i="8"/>
  <c r="O333" i="8"/>
  <c r="N333" i="8"/>
  <c r="O332" i="8"/>
  <c r="N332" i="8"/>
  <c r="O331" i="8"/>
  <c r="N331" i="8"/>
  <c r="L331" i="8"/>
  <c r="O330" i="8"/>
  <c r="N330" i="8"/>
  <c r="L330" i="8"/>
  <c r="O329" i="8"/>
  <c r="N329" i="8"/>
  <c r="L329" i="8"/>
  <c r="O328" i="8"/>
  <c r="N328" i="8"/>
  <c r="L328" i="8"/>
  <c r="O327" i="8"/>
  <c r="N327" i="8"/>
  <c r="L327" i="8"/>
  <c r="O326" i="8"/>
  <c r="N326" i="8"/>
  <c r="O325" i="8"/>
  <c r="N325" i="8"/>
  <c r="O324" i="8"/>
  <c r="N324" i="8"/>
  <c r="O323" i="8"/>
  <c r="N323" i="8"/>
  <c r="O322" i="8"/>
  <c r="N322" i="8"/>
  <c r="O321" i="8"/>
  <c r="N321" i="8"/>
  <c r="O320" i="8"/>
  <c r="N320" i="8"/>
  <c r="L320" i="8"/>
  <c r="O319" i="8"/>
  <c r="N319" i="8"/>
  <c r="O318" i="8"/>
  <c r="N318" i="8"/>
  <c r="O317" i="8"/>
  <c r="N317" i="8"/>
  <c r="O316" i="8"/>
  <c r="N316" i="8"/>
  <c r="L316" i="8"/>
  <c r="O315" i="8"/>
  <c r="N315" i="8"/>
  <c r="L315" i="8"/>
  <c r="O314" i="8"/>
  <c r="N314" i="8"/>
  <c r="L314" i="8"/>
  <c r="O313" i="8"/>
  <c r="N313" i="8"/>
  <c r="L313" i="8"/>
  <c r="O312" i="8"/>
  <c r="N312" i="8"/>
  <c r="L312" i="8"/>
  <c r="O311" i="8"/>
  <c r="N311" i="8"/>
  <c r="O310" i="8"/>
  <c r="N310" i="8"/>
  <c r="L310" i="8"/>
  <c r="O309" i="8"/>
  <c r="N309" i="8"/>
  <c r="O308" i="8"/>
  <c r="N308" i="8"/>
  <c r="L308" i="8"/>
  <c r="O307" i="8"/>
  <c r="N307" i="8"/>
  <c r="L307" i="8"/>
  <c r="O306" i="8"/>
  <c r="N306" i="8"/>
  <c r="O305" i="8"/>
  <c r="N305" i="8"/>
  <c r="L305" i="8"/>
  <c r="O304" i="8"/>
  <c r="N304" i="8"/>
  <c r="L304" i="8"/>
  <c r="O303" i="8"/>
  <c r="N303" i="8"/>
  <c r="L303" i="8"/>
  <c r="O302" i="8"/>
  <c r="N302" i="8"/>
  <c r="L302" i="8"/>
  <c r="O301" i="8"/>
  <c r="N301" i="8"/>
  <c r="L301" i="8"/>
  <c r="O300" i="8"/>
  <c r="N300" i="8"/>
  <c r="L300" i="8"/>
  <c r="O299" i="8"/>
  <c r="N299" i="8"/>
  <c r="O298" i="8"/>
  <c r="N298" i="8"/>
  <c r="L298" i="8"/>
  <c r="O297" i="8"/>
  <c r="N297" i="8"/>
  <c r="L297" i="8"/>
  <c r="O296" i="8"/>
  <c r="N296" i="8"/>
  <c r="O295" i="8"/>
  <c r="N295" i="8"/>
  <c r="O294" i="8"/>
  <c r="N294" i="8"/>
  <c r="O293" i="8"/>
  <c r="N293" i="8"/>
  <c r="O292" i="8"/>
  <c r="N292" i="8"/>
  <c r="O291" i="8"/>
  <c r="N291" i="8"/>
  <c r="O290" i="8"/>
  <c r="N290" i="8"/>
  <c r="O289" i="8"/>
  <c r="N289" i="8"/>
  <c r="L289" i="8"/>
  <c r="O288" i="8"/>
  <c r="N288" i="8"/>
  <c r="L288" i="8"/>
  <c r="O287" i="8"/>
  <c r="N287" i="8"/>
  <c r="O286" i="8"/>
  <c r="N286" i="8"/>
  <c r="O285" i="8"/>
  <c r="N285" i="8"/>
  <c r="O284" i="8"/>
  <c r="N284" i="8"/>
  <c r="O283" i="8"/>
  <c r="N283" i="8"/>
  <c r="O282" i="8"/>
  <c r="N282" i="8"/>
  <c r="O281" i="8"/>
  <c r="N281" i="8"/>
  <c r="O280" i="8"/>
  <c r="N280" i="8"/>
  <c r="O279" i="8"/>
  <c r="N279" i="8"/>
  <c r="O278" i="8"/>
  <c r="N278" i="8"/>
  <c r="O277" i="8"/>
  <c r="N277" i="8"/>
  <c r="L277" i="8"/>
  <c r="O276" i="8"/>
  <c r="N276" i="8"/>
  <c r="L276" i="8"/>
  <c r="O275" i="8"/>
  <c r="N275" i="8"/>
  <c r="L275" i="8"/>
  <c r="O274" i="8"/>
  <c r="N274" i="8"/>
  <c r="L274" i="8"/>
  <c r="O273" i="8"/>
  <c r="N273" i="8"/>
  <c r="O272" i="8"/>
  <c r="N272" i="8"/>
  <c r="O271" i="8"/>
  <c r="N271" i="8"/>
  <c r="O270" i="8"/>
  <c r="N270" i="8"/>
  <c r="O269" i="8"/>
  <c r="N269" i="8"/>
  <c r="O268" i="8"/>
  <c r="N268" i="8"/>
  <c r="L268" i="8"/>
  <c r="O267" i="8"/>
  <c r="N267" i="8"/>
  <c r="L267" i="8"/>
  <c r="O266" i="8"/>
  <c r="N266" i="8"/>
  <c r="L266" i="8"/>
  <c r="O265" i="8"/>
  <c r="N265" i="8"/>
  <c r="L265" i="8"/>
  <c r="O264" i="8"/>
  <c r="N264" i="8"/>
  <c r="L264" i="8"/>
  <c r="O263" i="8"/>
  <c r="N263" i="8"/>
  <c r="L263" i="8"/>
  <c r="O262" i="8"/>
  <c r="N262" i="8"/>
  <c r="L262" i="8"/>
  <c r="O261" i="8"/>
  <c r="N261" i="8"/>
  <c r="L261" i="8"/>
  <c r="O260" i="8"/>
  <c r="N260" i="8"/>
  <c r="L260" i="8"/>
  <c r="O259" i="8"/>
  <c r="N259" i="8"/>
  <c r="L259" i="8"/>
  <c r="O258" i="8"/>
  <c r="N258" i="8"/>
  <c r="L258" i="8"/>
  <c r="O257" i="8"/>
  <c r="N257" i="8"/>
  <c r="L257" i="8"/>
  <c r="O256" i="8"/>
  <c r="N256" i="8"/>
  <c r="L256" i="8"/>
  <c r="O255" i="8"/>
  <c r="N255" i="8"/>
  <c r="L255" i="8"/>
  <c r="O254" i="8"/>
  <c r="N254" i="8"/>
  <c r="L254" i="8"/>
  <c r="O253" i="8"/>
  <c r="N253" i="8"/>
  <c r="L253" i="8"/>
  <c r="O252" i="8"/>
  <c r="N252" i="8"/>
  <c r="L252" i="8"/>
  <c r="O251" i="8"/>
  <c r="N251" i="8"/>
  <c r="L251" i="8"/>
  <c r="O250" i="8"/>
  <c r="N250" i="8"/>
  <c r="L250" i="8"/>
  <c r="O249" i="8"/>
  <c r="N249" i="8"/>
  <c r="L249" i="8"/>
  <c r="O248" i="8"/>
  <c r="N248" i="8"/>
  <c r="L248" i="8"/>
  <c r="O247" i="8"/>
  <c r="N247" i="8"/>
  <c r="L247" i="8"/>
  <c r="O246" i="8"/>
  <c r="N246" i="8"/>
  <c r="L246" i="8"/>
  <c r="O245" i="8"/>
  <c r="N245" i="8"/>
  <c r="L245" i="8"/>
  <c r="O244" i="8"/>
  <c r="N244" i="8"/>
  <c r="O243" i="8"/>
  <c r="N243" i="8"/>
  <c r="L243" i="8"/>
  <c r="O242" i="8"/>
  <c r="N242" i="8"/>
  <c r="L242" i="8"/>
  <c r="O241" i="8"/>
  <c r="N241" i="8"/>
  <c r="O240" i="8"/>
  <c r="N240" i="8"/>
  <c r="O239" i="8"/>
  <c r="N239" i="8"/>
  <c r="L239" i="8"/>
  <c r="O238" i="8"/>
  <c r="N238" i="8"/>
  <c r="L238" i="8"/>
  <c r="O237" i="8"/>
  <c r="N237" i="8"/>
  <c r="L237" i="8"/>
  <c r="O236" i="8"/>
  <c r="N236" i="8"/>
  <c r="O235" i="8"/>
  <c r="N235" i="8"/>
  <c r="L235" i="8"/>
  <c r="O234" i="8"/>
  <c r="N234" i="8"/>
  <c r="L234" i="8"/>
  <c r="O233" i="8"/>
  <c r="N233" i="8"/>
  <c r="L233" i="8"/>
  <c r="O232" i="8"/>
  <c r="N232" i="8"/>
  <c r="O231" i="8"/>
  <c r="N231" i="8"/>
  <c r="O230" i="8"/>
  <c r="N230" i="8"/>
  <c r="O229" i="8"/>
  <c r="N229" i="8"/>
  <c r="O228" i="8"/>
  <c r="N228" i="8"/>
  <c r="O227" i="8"/>
  <c r="N227" i="8"/>
  <c r="O226" i="8"/>
  <c r="N226" i="8"/>
  <c r="O225" i="8"/>
  <c r="N225" i="8"/>
  <c r="L225" i="8"/>
  <c r="O224" i="8"/>
  <c r="N224" i="8"/>
  <c r="L224" i="8"/>
  <c r="O223" i="8"/>
  <c r="N223" i="8"/>
  <c r="L223" i="8"/>
  <c r="O222" i="8"/>
  <c r="N222" i="8"/>
  <c r="O221" i="8"/>
  <c r="N221" i="8"/>
  <c r="O220" i="8"/>
  <c r="N220" i="8"/>
  <c r="L220" i="8"/>
  <c r="O219" i="8"/>
  <c r="N219" i="8"/>
  <c r="L219" i="8"/>
  <c r="O218" i="8"/>
  <c r="N218" i="8"/>
  <c r="O217" i="8"/>
  <c r="N217" i="8"/>
  <c r="L217" i="8"/>
  <c r="O216" i="8"/>
  <c r="N216" i="8"/>
  <c r="L216" i="8"/>
  <c r="O215" i="8"/>
  <c r="N215" i="8"/>
  <c r="L215" i="8"/>
  <c r="O214" i="8"/>
  <c r="N214" i="8"/>
  <c r="L214" i="8"/>
  <c r="O213" i="8"/>
  <c r="N213" i="8"/>
  <c r="O212" i="8"/>
  <c r="N212" i="8"/>
  <c r="L212" i="8"/>
  <c r="O211" i="8"/>
  <c r="N211" i="8"/>
  <c r="L211" i="8"/>
  <c r="O210" i="8"/>
  <c r="N210" i="8"/>
  <c r="L210" i="8"/>
  <c r="O209" i="8"/>
  <c r="N209" i="8"/>
  <c r="L209" i="8"/>
  <c r="O208" i="8"/>
  <c r="N208" i="8"/>
  <c r="L208" i="8"/>
  <c r="O207" i="8"/>
  <c r="N207" i="8"/>
  <c r="L207" i="8"/>
  <c r="O206" i="8"/>
  <c r="N206" i="8"/>
  <c r="O205" i="8"/>
  <c r="N205" i="8"/>
  <c r="L205" i="8"/>
  <c r="O204" i="8"/>
  <c r="N204" i="8"/>
  <c r="L204" i="8"/>
  <c r="O203" i="8"/>
  <c r="N203" i="8"/>
  <c r="L203" i="8"/>
  <c r="O202" i="8"/>
  <c r="N202" i="8"/>
  <c r="O201" i="8"/>
  <c r="N201" i="8"/>
  <c r="L201" i="8"/>
  <c r="O200" i="8"/>
  <c r="N200" i="8"/>
  <c r="L200" i="8"/>
  <c r="O199" i="8"/>
  <c r="N199" i="8"/>
  <c r="L199" i="8"/>
  <c r="O198" i="8"/>
  <c r="N198" i="8"/>
  <c r="L198" i="8"/>
  <c r="O197" i="8"/>
  <c r="N197" i="8"/>
  <c r="L197" i="8"/>
  <c r="O196" i="8"/>
  <c r="N196" i="8"/>
  <c r="L196" i="8"/>
  <c r="O195" i="8"/>
  <c r="N195" i="8"/>
  <c r="O194" i="8"/>
  <c r="N194" i="8"/>
  <c r="O193" i="8"/>
  <c r="N193" i="8"/>
  <c r="O192" i="8"/>
  <c r="N192" i="8"/>
  <c r="O191" i="8"/>
  <c r="N191" i="8"/>
  <c r="O190" i="8"/>
  <c r="N190" i="8"/>
  <c r="O189" i="8"/>
  <c r="N189" i="8"/>
  <c r="O188" i="8"/>
  <c r="N188" i="8"/>
  <c r="O187" i="8"/>
  <c r="N187" i="8"/>
  <c r="O186" i="8"/>
  <c r="N186" i="8"/>
  <c r="O185" i="8"/>
  <c r="N185" i="8"/>
  <c r="O184" i="8"/>
  <c r="N184" i="8"/>
  <c r="O183" i="8"/>
  <c r="N183" i="8"/>
  <c r="O182" i="8"/>
  <c r="N182" i="8"/>
  <c r="O181" i="8"/>
  <c r="N181" i="8"/>
  <c r="O180" i="8"/>
  <c r="N180" i="8"/>
  <c r="L180" i="8"/>
  <c r="O179" i="8"/>
  <c r="N179" i="8"/>
  <c r="L179" i="8"/>
  <c r="O178" i="8"/>
  <c r="N178" i="8"/>
  <c r="L178" i="8"/>
  <c r="O177" i="8"/>
  <c r="N177" i="8"/>
  <c r="L177" i="8"/>
  <c r="O176" i="8"/>
  <c r="N176" i="8"/>
  <c r="L176" i="8"/>
  <c r="O175" i="8"/>
  <c r="N175" i="8"/>
  <c r="L175" i="8"/>
  <c r="O174" i="8"/>
  <c r="N174" i="8"/>
  <c r="L174" i="8"/>
  <c r="O173" i="8"/>
  <c r="N173" i="8"/>
  <c r="L173" i="8"/>
  <c r="O172" i="8"/>
  <c r="N172" i="8"/>
  <c r="O171" i="8"/>
  <c r="N171" i="8"/>
  <c r="O170" i="8"/>
  <c r="N170" i="8"/>
  <c r="L170" i="8"/>
  <c r="O169" i="8"/>
  <c r="N169" i="8"/>
  <c r="L169" i="8"/>
  <c r="O168" i="8"/>
  <c r="N168" i="8"/>
  <c r="L168" i="8"/>
  <c r="O167" i="8"/>
  <c r="N167" i="8"/>
  <c r="O166" i="8"/>
  <c r="N166" i="8"/>
  <c r="L166" i="8"/>
  <c r="O165" i="8"/>
  <c r="N165" i="8"/>
  <c r="L165" i="8"/>
  <c r="O164" i="8"/>
  <c r="N164" i="8"/>
  <c r="L164" i="8"/>
  <c r="O163" i="8"/>
  <c r="N163" i="8"/>
  <c r="L163" i="8"/>
  <c r="O162" i="8"/>
  <c r="N162" i="8"/>
  <c r="L162" i="8"/>
  <c r="O161" i="8"/>
  <c r="N161" i="8"/>
  <c r="L161" i="8"/>
  <c r="O160" i="8"/>
  <c r="N160" i="8"/>
  <c r="L160" i="8"/>
  <c r="O159" i="8"/>
  <c r="N159" i="8"/>
  <c r="L159" i="8"/>
  <c r="O158" i="8"/>
  <c r="N158" i="8"/>
  <c r="L158" i="8"/>
  <c r="O157" i="8"/>
  <c r="N157" i="8"/>
  <c r="L157" i="8"/>
  <c r="O156" i="8"/>
  <c r="N156" i="8"/>
  <c r="L156" i="8"/>
  <c r="O155" i="8"/>
  <c r="N155" i="8"/>
  <c r="L155" i="8"/>
  <c r="O154" i="8"/>
  <c r="N154" i="8"/>
  <c r="L154" i="8"/>
  <c r="O153" i="8"/>
  <c r="N153" i="8"/>
  <c r="L153" i="8"/>
  <c r="O152" i="8"/>
  <c r="N152" i="8"/>
  <c r="L152" i="8"/>
  <c r="O151" i="8"/>
  <c r="N151" i="8"/>
  <c r="O150" i="8"/>
  <c r="N150" i="8"/>
  <c r="O149" i="8"/>
  <c r="N149" i="8"/>
  <c r="O148" i="8"/>
  <c r="N148" i="8"/>
  <c r="O147" i="8"/>
  <c r="N147" i="8"/>
  <c r="O146" i="8"/>
  <c r="N146" i="8"/>
  <c r="O145" i="8"/>
  <c r="N145" i="8"/>
  <c r="L145" i="8"/>
  <c r="O144" i="8"/>
  <c r="N144" i="8"/>
  <c r="L144" i="8"/>
  <c r="O143" i="8"/>
  <c r="N143" i="8"/>
  <c r="L143" i="8"/>
  <c r="O142" i="8"/>
  <c r="N142" i="8"/>
  <c r="L142" i="8"/>
  <c r="O141" i="8"/>
  <c r="N141" i="8"/>
  <c r="L141" i="8"/>
  <c r="O140" i="8"/>
  <c r="N140" i="8"/>
  <c r="L140" i="8"/>
  <c r="O139" i="8"/>
  <c r="N139" i="8"/>
  <c r="L139" i="8"/>
  <c r="O138" i="8"/>
  <c r="N138" i="8"/>
  <c r="L138" i="8"/>
  <c r="O137" i="8"/>
  <c r="N137" i="8"/>
  <c r="L137" i="8"/>
  <c r="O136" i="8"/>
  <c r="N136" i="8"/>
  <c r="L136" i="8"/>
  <c r="O135" i="8"/>
  <c r="N135" i="8"/>
  <c r="L135" i="8"/>
  <c r="O134" i="8"/>
  <c r="N134" i="8"/>
  <c r="L134" i="8"/>
  <c r="O133" i="8"/>
  <c r="N133" i="8"/>
  <c r="L133" i="8"/>
  <c r="O132" i="8"/>
  <c r="N132" i="8"/>
  <c r="L132" i="8"/>
  <c r="O131" i="8"/>
  <c r="N131" i="8"/>
  <c r="L131" i="8"/>
  <c r="O130" i="8"/>
  <c r="N130" i="8"/>
  <c r="L130" i="8"/>
  <c r="O129" i="8"/>
  <c r="N129" i="8"/>
  <c r="O128" i="8"/>
  <c r="N128" i="8"/>
  <c r="O127" i="8"/>
  <c r="N127" i="8"/>
  <c r="O126" i="8"/>
  <c r="N126" i="8"/>
  <c r="L126" i="8"/>
  <c r="O125" i="8"/>
  <c r="N125" i="8"/>
  <c r="L125" i="8"/>
  <c r="O124" i="8"/>
  <c r="N124" i="8"/>
  <c r="L124" i="8"/>
  <c r="O123" i="8"/>
  <c r="N123" i="8"/>
  <c r="L123" i="8"/>
  <c r="O122" i="8"/>
  <c r="N122" i="8"/>
  <c r="L122" i="8"/>
  <c r="O121" i="8"/>
  <c r="N121" i="8"/>
  <c r="O120" i="8"/>
  <c r="N120" i="8"/>
  <c r="L120" i="8"/>
  <c r="O119" i="8"/>
  <c r="N119" i="8"/>
  <c r="L119" i="8"/>
  <c r="O118" i="8"/>
  <c r="N118" i="8"/>
  <c r="L118" i="8"/>
  <c r="O117" i="8"/>
  <c r="N117" i="8"/>
  <c r="L117" i="8"/>
  <c r="O116" i="8"/>
  <c r="N116" i="8"/>
  <c r="L116" i="8"/>
  <c r="O115" i="8"/>
  <c r="N115" i="8"/>
  <c r="L115" i="8"/>
  <c r="O114" i="8"/>
  <c r="N114" i="8"/>
  <c r="L114" i="8"/>
  <c r="O113" i="8"/>
  <c r="N113" i="8"/>
  <c r="O112" i="8"/>
  <c r="N112" i="8"/>
  <c r="O111" i="8"/>
  <c r="N111" i="8"/>
  <c r="L111" i="8"/>
  <c r="O110" i="8"/>
  <c r="N110" i="8"/>
  <c r="L110" i="8"/>
  <c r="O109" i="8"/>
  <c r="N109" i="8"/>
  <c r="O108" i="8"/>
  <c r="N108" i="8"/>
  <c r="O107" i="8"/>
  <c r="N107" i="8"/>
  <c r="L107" i="8"/>
  <c r="O106" i="8"/>
  <c r="N106" i="8"/>
  <c r="L106" i="8"/>
  <c r="O105" i="8"/>
  <c r="N105" i="8"/>
  <c r="O104" i="8"/>
  <c r="N104" i="8"/>
  <c r="L104" i="8"/>
  <c r="O103" i="8"/>
  <c r="N103" i="8"/>
  <c r="L103" i="8"/>
  <c r="O102" i="8"/>
  <c r="N102" i="8"/>
  <c r="O101" i="8"/>
  <c r="N101" i="8"/>
  <c r="O100" i="8"/>
  <c r="N100" i="8"/>
  <c r="L100" i="8"/>
  <c r="O99" i="8"/>
  <c r="N99" i="8"/>
  <c r="O98" i="8"/>
  <c r="N98" i="8"/>
  <c r="L98" i="8"/>
  <c r="O97" i="8"/>
  <c r="N97" i="8"/>
  <c r="L97" i="8"/>
  <c r="O96" i="8"/>
  <c r="N96" i="8"/>
  <c r="L96" i="8"/>
  <c r="O95" i="8"/>
  <c r="N95" i="8"/>
  <c r="O94" i="8"/>
  <c r="N94" i="8"/>
  <c r="O93" i="8"/>
  <c r="N93" i="8"/>
  <c r="L93" i="8"/>
  <c r="O92" i="8"/>
  <c r="N92" i="8"/>
  <c r="L92" i="8"/>
  <c r="O91" i="8"/>
  <c r="N91" i="8"/>
  <c r="L91" i="8"/>
  <c r="O90" i="8"/>
  <c r="N90" i="8"/>
  <c r="L90" i="8"/>
  <c r="O89" i="8"/>
  <c r="N89" i="8"/>
  <c r="O88" i="8"/>
  <c r="N88" i="8"/>
  <c r="O87" i="8"/>
  <c r="N87" i="8"/>
  <c r="L87" i="8"/>
  <c r="O86" i="8"/>
  <c r="N86" i="8"/>
  <c r="O85" i="8"/>
  <c r="N85" i="8"/>
  <c r="O84" i="8"/>
  <c r="N84" i="8"/>
  <c r="O83" i="8"/>
  <c r="N83" i="8"/>
  <c r="O82" i="8"/>
  <c r="N82" i="8"/>
  <c r="L82" i="8"/>
  <c r="O81" i="8"/>
  <c r="N81" i="8"/>
  <c r="L81" i="8"/>
  <c r="O80" i="8"/>
  <c r="N80" i="8"/>
  <c r="L80" i="8"/>
  <c r="O79" i="8"/>
  <c r="N79" i="8"/>
  <c r="L79" i="8"/>
  <c r="O78" i="8"/>
  <c r="N78" i="8"/>
  <c r="L78" i="8"/>
  <c r="O77" i="8"/>
  <c r="N77" i="8"/>
  <c r="L77" i="8"/>
  <c r="O76" i="8"/>
  <c r="N76" i="8"/>
  <c r="L76" i="8"/>
  <c r="O75" i="8"/>
  <c r="N75" i="8"/>
  <c r="O74" i="8"/>
  <c r="N74" i="8"/>
  <c r="L74" i="8"/>
  <c r="O73" i="8"/>
  <c r="N73" i="8"/>
  <c r="L73" i="8"/>
  <c r="O72" i="8"/>
  <c r="N72" i="8"/>
  <c r="O71" i="8"/>
  <c r="N71" i="8"/>
  <c r="O70" i="8"/>
  <c r="N70" i="8"/>
  <c r="O69" i="8"/>
  <c r="N69" i="8"/>
  <c r="O68" i="8"/>
  <c r="N68" i="8"/>
  <c r="O67" i="8"/>
  <c r="N67" i="8"/>
  <c r="L67" i="8"/>
  <c r="O66" i="8"/>
  <c r="N66" i="8"/>
  <c r="O65" i="8"/>
  <c r="N65" i="8"/>
  <c r="O64" i="8"/>
  <c r="N64" i="8"/>
  <c r="O63" i="8"/>
  <c r="N63" i="8"/>
  <c r="O62" i="8"/>
  <c r="N62" i="8"/>
  <c r="O61" i="8"/>
  <c r="N61" i="8"/>
  <c r="L61" i="8"/>
  <c r="O60" i="8"/>
  <c r="N60" i="8"/>
  <c r="L60" i="8"/>
  <c r="O59" i="8"/>
  <c r="N59" i="8"/>
  <c r="O58" i="8"/>
  <c r="N58" i="8"/>
  <c r="L58" i="8"/>
  <c r="O57" i="8"/>
  <c r="N57" i="8"/>
  <c r="L57" i="8"/>
  <c r="O56" i="8"/>
  <c r="N56" i="8"/>
  <c r="L56" i="8"/>
  <c r="O55" i="8"/>
  <c r="N55" i="8"/>
  <c r="O54" i="8"/>
  <c r="N54" i="8"/>
  <c r="L54" i="8"/>
  <c r="O53" i="8"/>
  <c r="N53" i="8"/>
  <c r="L53" i="8"/>
  <c r="O52" i="8"/>
  <c r="N52" i="8"/>
  <c r="L52" i="8"/>
  <c r="O51" i="8"/>
  <c r="N51" i="8"/>
  <c r="L51" i="8"/>
  <c r="O50" i="8"/>
  <c r="N50" i="8"/>
  <c r="O49" i="8"/>
  <c r="N49" i="8"/>
  <c r="O48" i="8"/>
  <c r="N48" i="8"/>
  <c r="O47" i="8"/>
  <c r="N47" i="8"/>
  <c r="O46" i="8"/>
  <c r="N46" i="8"/>
  <c r="L46" i="8"/>
  <c r="O45" i="8"/>
  <c r="N45" i="8"/>
  <c r="O44" i="8"/>
  <c r="N44" i="8"/>
  <c r="L44" i="8"/>
  <c r="O43" i="8"/>
  <c r="N43" i="8"/>
  <c r="L43" i="8"/>
  <c r="O42" i="8"/>
  <c r="N42" i="8"/>
  <c r="O41" i="8"/>
  <c r="N41" i="8"/>
  <c r="O40" i="8"/>
  <c r="N40" i="8"/>
  <c r="O39" i="8"/>
  <c r="N39" i="8"/>
  <c r="O38" i="8"/>
  <c r="N38" i="8"/>
  <c r="O37" i="8"/>
  <c r="N37" i="8"/>
  <c r="O36" i="8"/>
  <c r="N36" i="8"/>
  <c r="O35" i="8"/>
  <c r="N35" i="8"/>
  <c r="O34" i="8"/>
  <c r="N34" i="8"/>
  <c r="O33" i="8"/>
  <c r="N33" i="8"/>
  <c r="O32" i="8"/>
  <c r="N32" i="8"/>
  <c r="O31" i="8"/>
  <c r="N31" i="8"/>
  <c r="O30" i="8"/>
  <c r="N30" i="8"/>
  <c r="O29" i="8"/>
  <c r="N29" i="8"/>
  <c r="O28" i="8"/>
  <c r="N28" i="8"/>
  <c r="O27" i="8"/>
  <c r="N27" i="8"/>
  <c r="O26" i="8"/>
  <c r="N26" i="8"/>
  <c r="O25" i="8"/>
  <c r="N25" i="8"/>
  <c r="O24" i="8"/>
  <c r="N24" i="8"/>
  <c r="O23" i="8"/>
  <c r="N23" i="8"/>
  <c r="O22" i="8"/>
  <c r="N22" i="8"/>
  <c r="O21" i="8"/>
  <c r="N21" i="8"/>
  <c r="O20" i="8"/>
  <c r="N20" i="8"/>
  <c r="O19" i="8"/>
  <c r="N19" i="8"/>
  <c r="O18" i="8"/>
  <c r="N18" i="8"/>
  <c r="O17" i="8"/>
  <c r="N17" i="8"/>
  <c r="O16" i="8"/>
  <c r="N16" i="8"/>
  <c r="O15" i="8"/>
  <c r="N15" i="8"/>
  <c r="O14" i="8"/>
  <c r="N14" i="8"/>
  <c r="L14" i="8"/>
  <c r="O13" i="8"/>
  <c r="N13" i="8"/>
  <c r="L13" i="8"/>
  <c r="O12" i="8"/>
  <c r="N12" i="8"/>
  <c r="L12" i="8"/>
  <c r="O11" i="8"/>
  <c r="N11" i="8"/>
  <c r="L11" i="8"/>
  <c r="O10" i="8"/>
  <c r="N10" i="8"/>
  <c r="L10" i="8"/>
  <c r="O9" i="8"/>
  <c r="N9" i="8"/>
  <c r="L9" i="8"/>
  <c r="O8" i="8"/>
  <c r="N8" i="8"/>
  <c r="L8" i="8"/>
  <c r="O7" i="8"/>
  <c r="N7" i="8"/>
  <c r="L7" i="8"/>
  <c r="O6" i="8"/>
  <c r="N6" i="8"/>
  <c r="O5" i="8"/>
  <c r="N5" i="8"/>
  <c r="L5" i="8"/>
  <c r="O4" i="8"/>
  <c r="N4" i="8"/>
  <c r="L4" i="8"/>
  <c r="O3" i="8"/>
  <c r="N3" i="8"/>
  <c r="L3" i="8"/>
  <c r="O2" i="8"/>
  <c r="N2" i="8"/>
</calcChain>
</file>

<file path=xl/sharedStrings.xml><?xml version="1.0" encoding="utf-8"?>
<sst xmlns="http://schemas.openxmlformats.org/spreadsheetml/2006/main" count="2980" uniqueCount="465">
  <si>
    <t>MARCA</t>
  </si>
  <si>
    <t>MODELO</t>
  </si>
  <si>
    <t>SERIAL</t>
  </si>
  <si>
    <t>PLACA</t>
  </si>
  <si>
    <t>ID SEDE</t>
  </si>
  <si>
    <t>NOMBRE DE LA SEDE</t>
  </si>
  <si>
    <t>CIUDAD</t>
  </si>
  <si>
    <t>UBICACIÓN</t>
  </si>
  <si>
    <t>PISO</t>
  </si>
  <si>
    <t>TIPO DE USUARIO</t>
  </si>
  <si>
    <t>TIPO DE RED</t>
  </si>
  <si>
    <t>CAMBIO DE PARTE</t>
  </si>
  <si>
    <t>CAMBIO DE PARTE 2</t>
  </si>
  <si>
    <t># DE CASO PARA REPUESTO</t>
  </si>
  <si>
    <t>FECHA ULTIMO MANTENIMIENTO</t>
  </si>
  <si>
    <t>FECHA IMPACTO MAQUINA</t>
  </si>
  <si>
    <t>ASS</t>
  </si>
  <si>
    <t>ADMINISTRATIVO</t>
  </si>
  <si>
    <t>N/A</t>
  </si>
  <si>
    <t>CCYS</t>
  </si>
  <si>
    <t>HOSTNAME</t>
  </si>
  <si>
    <t>TIPO</t>
  </si>
  <si>
    <t>PROPIETARIO</t>
  </si>
  <si>
    <t>NOMBRE DE LA OFICINA O AMBIENTE</t>
  </si>
  <si>
    <t>NOMBRE DEL USUARIO</t>
  </si>
  <si>
    <t>PROCESADOR</t>
  </si>
  <si>
    <t>TIPO DISCO 1</t>
  </si>
  <si>
    <t>TAMAÑO DISCO 1</t>
  </si>
  <si>
    <t>TIPO DISCO 2</t>
  </si>
  <si>
    <t>TAMAÑO DISCO 2</t>
  </si>
  <si>
    <t>TIPO MEMORIA</t>
  </si>
  <si>
    <t>TAMAÑO MEMORIA</t>
  </si>
  <si>
    <t>TARJETA DE VIDEO</t>
  </si>
  <si>
    <t>PLACA MONITOR</t>
  </si>
  <si>
    <t xml:space="preserve">PLACA MOUSE </t>
  </si>
  <si>
    <t>PLACA TECLADO</t>
  </si>
  <si>
    <t>PLACA CARGADOR</t>
  </si>
  <si>
    <t>MAC:RED CABLEADA</t>
  </si>
  <si>
    <t>MAC RED INALAMBRICA</t>
  </si>
  <si>
    <t>SISTEMA OPERATIVO</t>
  </si>
  <si>
    <t>VERSION DEL S.O.</t>
  </si>
  <si>
    <t>ANTIVIRUS</t>
  </si>
  <si>
    <t>OFFICE</t>
  </si>
  <si>
    <t>ADOBE</t>
  </si>
  <si>
    <t>LAPS</t>
  </si>
  <si>
    <t>SI</t>
  </si>
  <si>
    <t>VPN</t>
  </si>
  <si>
    <t>JAMF</t>
  </si>
  <si>
    <t xml:space="preserve">OTRO SOFTWARE </t>
  </si>
  <si>
    <t>ESTADO DEL EQUIPO</t>
  </si>
  <si>
    <t>TIENE DOMINIO</t>
  </si>
  <si>
    <t>EN QUE DOMINIO SE ENCUENTRA</t>
  </si>
  <si>
    <t>CONTRASEÑA BIOS</t>
  </si>
  <si>
    <t>OBSERVACIONES</t>
  </si>
  <si>
    <t>RESPONSABLE DEL PRIMER MANTENIMIENTO ABRIL 2026</t>
  </si>
  <si>
    <t>RESPONSABLE DEL SEGUNDO MANTENIMIENTO OCTUBRE 2026</t>
  </si>
  <si>
    <t>DESKTOP-DSDVL8S</t>
  </si>
  <si>
    <t>DESKTOP</t>
  </si>
  <si>
    <t>SENA</t>
  </si>
  <si>
    <t>LENOVO</t>
  </si>
  <si>
    <t>10VUS1SK00</t>
  </si>
  <si>
    <t>PC1AGMYE</t>
  </si>
  <si>
    <t>COLTEL-033635</t>
  </si>
  <si>
    <t>REGIONAL</t>
  </si>
  <si>
    <t>POPAYAN</t>
  </si>
  <si>
    <t>OFICINA</t>
  </si>
  <si>
    <t>SNFT</t>
  </si>
  <si>
    <t>LUZ ANDREA GRANADA</t>
  </si>
  <si>
    <t>CONTRATISTA</t>
  </si>
  <si>
    <t>FUNCIONARIO</t>
  </si>
  <si>
    <t>AMD RYZEN 5 PRO 2400G WITH RADEON VEGA GRAPHICS</t>
  </si>
  <si>
    <t>M2</t>
  </si>
  <si>
    <t>256 GB</t>
  </si>
  <si>
    <t>DDR4</t>
  </si>
  <si>
    <t>16 GB</t>
  </si>
  <si>
    <t>AMD RADEON(TM) VEGA 11 GRAPHICS</t>
  </si>
  <si>
    <t>COLTEL-078019</t>
  </si>
  <si>
    <t>COLTEL-106175</t>
  </si>
  <si>
    <t>00:D8:61:95:46:A5</t>
  </si>
  <si>
    <t>10:63:C8:31:B8:9F</t>
  </si>
  <si>
    <t>WINDOWS 11</t>
  </si>
  <si>
    <t>24H2</t>
  </si>
  <si>
    <t>NO</t>
  </si>
  <si>
    <t>OPERATIVO</t>
  </si>
  <si>
    <t>SENA.RED</t>
  </si>
  <si>
    <t>NINGUNA</t>
  </si>
  <si>
    <t>LEONARDO ANDRES GUITIERREZ NARVAEZ</t>
  </si>
  <si>
    <t>DESKTOP-93VB434</t>
  </si>
  <si>
    <t>PC1AGFSL</t>
  </si>
  <si>
    <t>COLTEL-033996</t>
  </si>
  <si>
    <t>DAYANA CALVACHE</t>
  </si>
  <si>
    <t>COLTEL-086320</t>
  </si>
  <si>
    <t>COLTEL-117745</t>
  </si>
  <si>
    <t>00:D8:61:95:3D:B1</t>
  </si>
  <si>
    <t>10:63:C8:DD:92:73</t>
  </si>
  <si>
    <t>PC1AGMVK</t>
  </si>
  <si>
    <t>COLTEL-033729</t>
  </si>
  <si>
    <t>TALENTO HUMANO</t>
  </si>
  <si>
    <t>DAMARIS</t>
  </si>
  <si>
    <t>00:D8:61:95:45:60</t>
  </si>
  <si>
    <t>10:63:C8:31:C5:77</t>
  </si>
  <si>
    <t>7ZIP</t>
  </si>
  <si>
    <t>PORTATIL</t>
  </si>
  <si>
    <t>TELEFONICA</t>
  </si>
  <si>
    <t>81B1</t>
  </si>
  <si>
    <t>MP1Q615Y</t>
  </si>
  <si>
    <t>COLTEL-091163</t>
  </si>
  <si>
    <t>AGENCIA PÚBLICA DE EMPLE</t>
  </si>
  <si>
    <t>LEONARDO ANDRES GUTIERREZ</t>
  </si>
  <si>
    <t>AMD RYZEN 3 2300U WITH RADEON VEGA MOBILE GFX</t>
  </si>
  <si>
    <t>8 GB</t>
  </si>
  <si>
    <t>RADEON(TM) VEGA 6 GRAPHICS</t>
  </si>
  <si>
    <t>COLTEL-091164</t>
  </si>
  <si>
    <t>7C:8A:E1:1E:EA:E1</t>
  </si>
  <si>
    <t>E4:AA:EA:AA:DB:BF</t>
  </si>
  <si>
    <t>SIN MOUSE</t>
  </si>
  <si>
    <t>PC1AGGND</t>
  </si>
  <si>
    <t>COLTEL-033655</t>
  </si>
  <si>
    <t>CAROLINA CHAVEZ</t>
  </si>
  <si>
    <t>COLTEL-077976</t>
  </si>
  <si>
    <t>COLTEL-117770</t>
  </si>
  <si>
    <t>COLTEL-127197</t>
  </si>
  <si>
    <t>00:D8:61:94:0A:FF</t>
  </si>
  <si>
    <t>10:63:C8:31:C3:F5</t>
  </si>
  <si>
    <t>MP1Q613J</t>
  </si>
  <si>
    <t>COLTEL-076537</t>
  </si>
  <si>
    <t>HDD</t>
  </si>
  <si>
    <t>COLTEL-134401</t>
  </si>
  <si>
    <t>COLTEL-076538</t>
  </si>
  <si>
    <t>7C:8A:E1:1E:E6:81</t>
  </si>
  <si>
    <t>E4:AA:EA:AB:13:45</t>
  </si>
  <si>
    <t>POPDFPSVCGOD003</t>
  </si>
  <si>
    <t>MJ0A6NLG</t>
  </si>
  <si>
    <t>COLTEL-058632</t>
  </si>
  <si>
    <t>PATRICIA GIRALDO</t>
  </si>
  <si>
    <t>00:D8:61:8F:F2:38</t>
  </si>
  <si>
    <t>10:63:C8:40:1D:69</t>
  </si>
  <si>
    <t>25H2</t>
  </si>
  <si>
    <t>MJ0A9TJ7</t>
  </si>
  <si>
    <t>COLTEL-139655</t>
  </si>
  <si>
    <t>DESPACHO</t>
  </si>
  <si>
    <t>YULI MARCELA CASTILLO</t>
  </si>
  <si>
    <t>COLTEL-077962</t>
  </si>
  <si>
    <t>COLTEL-137978</t>
  </si>
  <si>
    <t>COLTEL-125791</t>
  </si>
  <si>
    <t>00:D8:61:AE:D1:D2</t>
  </si>
  <si>
    <t>10:63:C8:4C:64:41</t>
  </si>
  <si>
    <t>PC1AGMV1</t>
  </si>
  <si>
    <t>COLTEL-033777</t>
  </si>
  <si>
    <t>ANDRES MUÑOS ROBLES</t>
  </si>
  <si>
    <t>COLTEL-086331</t>
  </si>
  <si>
    <t>COLTEL-106181</t>
  </si>
  <si>
    <t>00:D8:61:95:45:80</t>
  </si>
  <si>
    <t>10:63:C8:31:B8:DB</t>
  </si>
  <si>
    <t>POPSGRSVCGOD001</t>
  </si>
  <si>
    <t>PC1AGFP5</t>
  </si>
  <si>
    <t>COLTEL-033789</t>
  </si>
  <si>
    <t>UNIDAD DE CORRESPONDENCIA</t>
  </si>
  <si>
    <t>HENRRY RENDON</t>
  </si>
  <si>
    <t>COLTEL-077920</t>
  </si>
  <si>
    <t>COLTEL-106204</t>
  </si>
  <si>
    <t>COLTEL-106205</t>
  </si>
  <si>
    <t>00:D8:61:95:4A:EB</t>
  </si>
  <si>
    <t>10:63:C8:DD:7F:65</t>
  </si>
  <si>
    <t>PC1AGKF5</t>
  </si>
  <si>
    <t>COLTEL-033775</t>
  </si>
  <si>
    <t xml:space="preserve">MAYELI VENAVIDES SINFUENTES </t>
  </si>
  <si>
    <t>COLTEL-077963</t>
  </si>
  <si>
    <t>COLTEL-137971</t>
  </si>
  <si>
    <t>00:D8:61:95:47:0C</t>
  </si>
  <si>
    <t>10:63:C8:DD:AE:13</t>
  </si>
  <si>
    <t>PC1AGL86</t>
  </si>
  <si>
    <t>COLTEL-033785</t>
  </si>
  <si>
    <t>ANGELA MARIA GAVIRIA</t>
  </si>
  <si>
    <t>COLTEL-117697</t>
  </si>
  <si>
    <t>N/ACOLTEL-106254</t>
  </si>
  <si>
    <t>00:D8:61:95:44:66</t>
  </si>
  <si>
    <t>10:63:C8:DD:A5:FF</t>
  </si>
  <si>
    <t>DESKTOP-FV9LTM6</t>
  </si>
  <si>
    <t>MJ0A8P9L</t>
  </si>
  <si>
    <t>COLTEL-058630</t>
  </si>
  <si>
    <t>DIANA MILENA HERRERA</t>
  </si>
  <si>
    <t>COLTEL-077965</t>
  </si>
  <si>
    <t>COLTEL-144475</t>
  </si>
  <si>
    <t>COLTEL-144474</t>
  </si>
  <si>
    <t>00:D8:61:9A:41:C2</t>
  </si>
  <si>
    <t>10:63:C8:5C:83:A7</t>
  </si>
  <si>
    <t>PASANTE</t>
  </si>
  <si>
    <t>PC1AGL8C</t>
  </si>
  <si>
    <t>COLTEL-033769</t>
  </si>
  <si>
    <t>SANDRA LILIANA REALPE HOYOS</t>
  </si>
  <si>
    <t>COLTEL-086333</t>
  </si>
  <si>
    <t>00:D8:61:AE:BA:DB</t>
  </si>
  <si>
    <t>10:63:C8:DD:A6:07</t>
  </si>
  <si>
    <t>PC1AMCBH</t>
  </si>
  <si>
    <t>COLTEL-033705</t>
  </si>
  <si>
    <t>COLTEL-077978</t>
  </si>
  <si>
    <t>N/ACOLTEL-111838</t>
  </si>
  <si>
    <t>COLTEL-106248</t>
  </si>
  <si>
    <t>00:D8:61:B1:3D:2D</t>
  </si>
  <si>
    <t>10:63:C8:35:96:9D</t>
  </si>
  <si>
    <t>EQUIPO PASANTE</t>
  </si>
  <si>
    <t>PC1AGMLM</t>
  </si>
  <si>
    <t>COLTEL-033723</t>
  </si>
  <si>
    <t>JHENIFER VILLEGAS</t>
  </si>
  <si>
    <t>COLTEL-078006</t>
  </si>
  <si>
    <t>COLTEL-106213</t>
  </si>
  <si>
    <t>COLTEL-106212</t>
  </si>
  <si>
    <t>00:D8:61:AE:E1:49</t>
  </si>
  <si>
    <t>10:63:C8:31:B7:5D</t>
  </si>
  <si>
    <t>MJ0A9VC2</t>
  </si>
  <si>
    <t>COLTEL-084326</t>
  </si>
  <si>
    <t>COLTEL-077966</t>
  </si>
  <si>
    <t>COLTEL-106152</t>
  </si>
  <si>
    <t>COLTEL-137850</t>
  </si>
  <si>
    <t>00:D8:61:AE:C8:C7</t>
  </si>
  <si>
    <t>10:63:C8:4C:8A:AD</t>
  </si>
  <si>
    <t>MJ0A6MV0</t>
  </si>
  <si>
    <t>COLTEL-139661</t>
  </si>
  <si>
    <t>RELACIONES COORPORATIVAS E INTERNACIONALES</t>
  </si>
  <si>
    <t>JULIETH URBANO</t>
  </si>
  <si>
    <t>COLTEL-077981</t>
  </si>
  <si>
    <t>COLTEL-021599</t>
  </si>
  <si>
    <t>COLTEL-106201</t>
  </si>
  <si>
    <t>00:D8:61:8F:F2:3B</t>
  </si>
  <si>
    <t>10:63:C8:40:1D:4B</t>
  </si>
  <si>
    <t>MP1Q5ZAL</t>
  </si>
  <si>
    <t>COLTEL-076527</t>
  </si>
  <si>
    <t>RELACIONES CORPORATIVAS</t>
  </si>
  <si>
    <t>LUZ ESPERANZA ESQUIBEL AVILA</t>
  </si>
  <si>
    <t>COLTEL-142022</t>
  </si>
  <si>
    <t>7C:8A:E1:1E:E7:92</t>
  </si>
  <si>
    <t>E4:AA:EA:AA:ED:55</t>
  </si>
  <si>
    <t>PC1AGMQY</t>
  </si>
  <si>
    <t>COLTEL-033673</t>
  </si>
  <si>
    <t>VICTOR IVAN BUSTAMANTE</t>
  </si>
  <si>
    <t>COLTEL-078013</t>
  </si>
  <si>
    <t>COLTEL-106200</t>
  </si>
  <si>
    <t>COLTEL-137991</t>
  </si>
  <si>
    <t>00:D8:61:95:40:C1</t>
  </si>
  <si>
    <t>10:63:C8:31:C3:1F</t>
  </si>
  <si>
    <t>PC1AGMJY</t>
  </si>
  <si>
    <t>COLTEL-033781</t>
  </si>
  <si>
    <t>RELACIONES CORPORATIVAS E INTERNACIONALES</t>
  </si>
  <si>
    <t xml:space="preserve">OSCAR ADOLFO AMAYA </t>
  </si>
  <si>
    <t>COLTEL-086321</t>
  </si>
  <si>
    <t>COLTEL-137809</t>
  </si>
  <si>
    <t>00:D8:61:95:42:21</t>
  </si>
  <si>
    <t>10:63:C8:34:E8:0F</t>
  </si>
  <si>
    <t>MP1QA3QQ</t>
  </si>
  <si>
    <t>COLTEL-080910</t>
  </si>
  <si>
    <t>NACY XIMENA LAME</t>
  </si>
  <si>
    <t>AMD RADEON(TM) VEGA 6 GRAPHICS</t>
  </si>
  <si>
    <t>ILEGIBLE</t>
  </si>
  <si>
    <t>7C:8A:E1:22:CF:E2</t>
  </si>
  <si>
    <t>E4:AA:EA:B1:46:D3</t>
  </si>
  <si>
    <t>PC1AMCBB</t>
  </si>
  <si>
    <t>COLTEL-033589</t>
  </si>
  <si>
    <t>REALCIONES CORPORATIVAS E INTERNACIONALES</t>
  </si>
  <si>
    <t>YULANNI ANDREA MUÑOZ GOMES</t>
  </si>
  <si>
    <t>COLTEL-077940</t>
  </si>
  <si>
    <t>COLTEL-106278</t>
  </si>
  <si>
    <t>00:D8:61:B1:3C:76</t>
  </si>
  <si>
    <t>10:63:C8:35:8D:3D</t>
  </si>
  <si>
    <t>PC1AGMV4</t>
  </si>
  <si>
    <t>COLTEL-033081</t>
  </si>
  <si>
    <t>RIGOBERTO NOGUERA</t>
  </si>
  <si>
    <t>FORMACION</t>
  </si>
  <si>
    <t>COLTEL-077988</t>
  </si>
  <si>
    <t>COLTEL-106158</t>
  </si>
  <si>
    <t>COLTEL-106159</t>
  </si>
  <si>
    <t>00:D8:61:95:45:8D</t>
  </si>
  <si>
    <t>10:63:C8:34:EF:CB</t>
  </si>
  <si>
    <t>PC1AMC6L</t>
  </si>
  <si>
    <t>COLTEL-058842</t>
  </si>
  <si>
    <t>SANDRA YOLANDA URBANO BOLAÑOS</t>
  </si>
  <si>
    <t>COLTEL-077989</t>
  </si>
  <si>
    <t>00:D8:61:B1:3F:B3</t>
  </si>
  <si>
    <t>10:63:C8:DC:4A:61</t>
  </si>
  <si>
    <t>PC1AGG3R</t>
  </si>
  <si>
    <t>COLTEL-033639</t>
  </si>
  <si>
    <t>RELACIONES COORPORATIVAS E INTERNACIOLES</t>
  </si>
  <si>
    <t>BRAYAN LEONARDO MUÑOZ</t>
  </si>
  <si>
    <t>COLTEL-136949</t>
  </si>
  <si>
    <t>00:D8:61:95:3D:99</t>
  </si>
  <si>
    <t>10:63:C8:DC:36:A7</t>
  </si>
  <si>
    <t>MJ0A9SQT</t>
  </si>
  <si>
    <t>COLTEL-033383</t>
  </si>
  <si>
    <t xml:space="preserve">ALEJANDRA MILENA MUÑOZ </t>
  </si>
  <si>
    <t>COLTEL-086070</t>
  </si>
  <si>
    <t>COLTEL-116487</t>
  </si>
  <si>
    <t>COLTEL-106149</t>
  </si>
  <si>
    <t>00:D8:61:AE:D2:45</t>
  </si>
  <si>
    <t>10:63:C8:4D:CE:21</t>
  </si>
  <si>
    <t>DESKTOP-CRFPC57</t>
  </si>
  <si>
    <t>MP1QACE7</t>
  </si>
  <si>
    <t>COLTEL-091149</t>
  </si>
  <si>
    <t>COLTEL-091150</t>
  </si>
  <si>
    <t>7C:8A:E1:23:09:8E</t>
  </si>
  <si>
    <t>E4:AA:EA:AD:2B:8D</t>
  </si>
  <si>
    <t>PC1AGHCJ</t>
  </si>
  <si>
    <t>COLTEL-033516</t>
  </si>
  <si>
    <t>JOHANA CUASPUD</t>
  </si>
  <si>
    <t>COLTEL-086229</t>
  </si>
  <si>
    <t>COLTEL-127356</t>
  </si>
  <si>
    <t>COLTEL-106222</t>
  </si>
  <si>
    <t>00:D8:61:95:49:24</t>
  </si>
  <si>
    <t>10:63:C8:DC:62:A1</t>
  </si>
  <si>
    <t>ID</t>
  </si>
  <si>
    <t>120 GB</t>
  </si>
  <si>
    <t>DDR3</t>
  </si>
  <si>
    <t>4 GB</t>
  </si>
  <si>
    <t>WINDOWS 10</t>
  </si>
  <si>
    <t>20H2</t>
  </si>
  <si>
    <t>ANDRES SEBASTIAN BRAVO PALACIOS</t>
  </si>
  <si>
    <t>DELL</t>
  </si>
  <si>
    <t>GUAPI</t>
  </si>
  <si>
    <t>AMBIENTE</t>
  </si>
  <si>
    <t>SSD</t>
  </si>
  <si>
    <t>21H1</t>
  </si>
  <si>
    <t xml:space="preserve"> NO</t>
  </si>
  <si>
    <t>PRESENTA FALLA</t>
  </si>
  <si>
    <t>FORMACION.RED</t>
  </si>
  <si>
    <t>JULIAN ANDRES NOGUERA BURGOS</t>
  </si>
  <si>
    <t>TODO EN UNO</t>
  </si>
  <si>
    <t>HP</t>
  </si>
  <si>
    <t>INSTRUCTOR</t>
  </si>
  <si>
    <t>512 GB</t>
  </si>
  <si>
    <t>DDR5</t>
  </si>
  <si>
    <t>MAC OS MONTEREY</t>
  </si>
  <si>
    <t>21H2</t>
  </si>
  <si>
    <t>DAÑADO</t>
  </si>
  <si>
    <t>iMAC</t>
  </si>
  <si>
    <t>ASUS</t>
  </si>
  <si>
    <t>TECNOPARQUE</t>
  </si>
  <si>
    <t>APRENDIZ</t>
  </si>
  <si>
    <t>1 TB</t>
  </si>
  <si>
    <t>32 GB</t>
  </si>
  <si>
    <t>MAC OS VENTURA</t>
  </si>
  <si>
    <t>22H2</t>
  </si>
  <si>
    <t>HARRY LEHANDRO PEDRAZA ARROYO</t>
  </si>
  <si>
    <t>JANUS</t>
  </si>
  <si>
    <t>64 GB</t>
  </si>
  <si>
    <t>23H2</t>
  </si>
  <si>
    <t>LUIS FELIPE FLOREZ DORADO</t>
  </si>
  <si>
    <t>ACER</t>
  </si>
  <si>
    <t>ARCHIVO CENTRAL</t>
  </si>
  <si>
    <t>YESID ANTONIO BRAVO RAMIREZ</t>
  </si>
  <si>
    <t>APPLE</t>
  </si>
  <si>
    <t>SAN JOSE</t>
  </si>
  <si>
    <t>JHON ALEXANDER CORTES PAZ</t>
  </si>
  <si>
    <t>LA PAMBA</t>
  </si>
  <si>
    <t>26H2</t>
  </si>
  <si>
    <t xml:space="preserve">JESUS ALEXIS VEGA SANCHEZ </t>
  </si>
  <si>
    <t>JESUS ALEXIS VEGA SANCHEZ</t>
  </si>
  <si>
    <t>CIUDAD JARDIN</t>
  </si>
  <si>
    <t>Coordinador</t>
  </si>
  <si>
    <t>154A</t>
  </si>
  <si>
    <t>ABELARDO JAIMES REATIGA</t>
  </si>
  <si>
    <t>CARLOS MARIO MONTIEL PETRO</t>
  </si>
  <si>
    <t>106B</t>
  </si>
  <si>
    <t>106C</t>
  </si>
  <si>
    <t>70A</t>
  </si>
  <si>
    <t>CLAUDIA MARCELA GELVEZ ROJAS</t>
  </si>
  <si>
    <t>133A</t>
  </si>
  <si>
    <t>133B</t>
  </si>
  <si>
    <t>DAVID ENRIQUE CANTILLO MIER</t>
  </si>
  <si>
    <t>22A</t>
  </si>
  <si>
    <t>DIEGO ARMANDO GUTIERREZ ROJAS</t>
  </si>
  <si>
    <t>99A</t>
  </si>
  <si>
    <t>DIEGO EFRAIN SOTO VELLOJIN</t>
  </si>
  <si>
    <t>24A</t>
  </si>
  <si>
    <t>24B</t>
  </si>
  <si>
    <t>24C</t>
  </si>
  <si>
    <t>DIEGO FERNANDO RICO GAMBA</t>
  </si>
  <si>
    <t>115A</t>
  </si>
  <si>
    <t>167A</t>
  </si>
  <si>
    <t>170A</t>
  </si>
  <si>
    <t>179A</t>
  </si>
  <si>
    <t>ERICK LEONARDO SANTOS MORENO</t>
  </si>
  <si>
    <t>96A</t>
  </si>
  <si>
    <t>9A</t>
  </si>
  <si>
    <t>9B</t>
  </si>
  <si>
    <t>FERNANDO ARENAS GUTIERREZ</t>
  </si>
  <si>
    <t>166-1</t>
  </si>
  <si>
    <t>166-2</t>
  </si>
  <si>
    <t>166-3</t>
  </si>
  <si>
    <t>FRANKLIEN SERGIO TRUJILLO ESPITIA</t>
  </si>
  <si>
    <t>171A</t>
  </si>
  <si>
    <t>176A</t>
  </si>
  <si>
    <t>178A</t>
  </si>
  <si>
    <t>275A</t>
  </si>
  <si>
    <t>63A</t>
  </si>
  <si>
    <t>HECTOR DANIEL RUBIANO ORTIZ</t>
  </si>
  <si>
    <t>44A</t>
  </si>
  <si>
    <t>44B</t>
  </si>
  <si>
    <t>JAVIER MAURICIO SARMIENTO CARRERO</t>
  </si>
  <si>
    <t>137A</t>
  </si>
  <si>
    <t>149A</t>
  </si>
  <si>
    <t>JENNY ANDREA CABRERA ACERO</t>
  </si>
  <si>
    <t>53A</t>
  </si>
  <si>
    <t>90-3</t>
  </si>
  <si>
    <t>JONATHAN KIN ACOSTA MUÑOZ</t>
  </si>
  <si>
    <t>2A</t>
  </si>
  <si>
    <t>2B</t>
  </si>
  <si>
    <t>2C</t>
  </si>
  <si>
    <t>JULIAN LEONARDO GARCIA GARZON</t>
  </si>
  <si>
    <t>66A</t>
  </si>
  <si>
    <t>LUIS CARLOS CALVO ARAUJO</t>
  </si>
  <si>
    <t>19A</t>
  </si>
  <si>
    <t>173A</t>
  </si>
  <si>
    <t>LUIS ERNESTO GERENA SALAS</t>
  </si>
  <si>
    <t>MANUEL RENE CEPEDA VELASCO</t>
  </si>
  <si>
    <t>8A</t>
  </si>
  <si>
    <t>8B</t>
  </si>
  <si>
    <t>MILDRED YULIANA SAAVEDRA AGUILAR</t>
  </si>
  <si>
    <t>127B</t>
  </si>
  <si>
    <t>127A</t>
  </si>
  <si>
    <t>75A</t>
  </si>
  <si>
    <t>MILENA KARINA CUBILLOS AVILA</t>
  </si>
  <si>
    <t>132A</t>
  </si>
  <si>
    <t>59A</t>
  </si>
  <si>
    <t>59B</t>
  </si>
  <si>
    <t>59C</t>
  </si>
  <si>
    <t>59D</t>
  </si>
  <si>
    <t>NAYIBE XIMENA PICO ESPITA</t>
  </si>
  <si>
    <t>119A</t>
  </si>
  <si>
    <t>NIDIA ESPINOSA RODRIGUEZ</t>
  </si>
  <si>
    <t>158B</t>
  </si>
  <si>
    <t>158C</t>
  </si>
  <si>
    <t>158D</t>
  </si>
  <si>
    <t>158A</t>
  </si>
  <si>
    <t>RODRIGO ANDRES PITO MENESES</t>
  </si>
  <si>
    <t>25A</t>
  </si>
  <si>
    <t>25B</t>
  </si>
  <si>
    <t>25C</t>
  </si>
  <si>
    <t>SHIRLEY JUHA PEÑA</t>
  </si>
  <si>
    <t>21A</t>
  </si>
  <si>
    <t>CEDULA</t>
  </si>
  <si>
    <t>NOMBRES COMPLETOS DEL RECURSO</t>
  </si>
  <si>
    <t>COORDINADOR LÍDER</t>
  </si>
  <si>
    <t>EDGAR JAVIER CASTAÑEDA GIL</t>
  </si>
  <si>
    <t>LUISA FERNANDA MEJIA CORREA</t>
  </si>
  <si>
    <t>LEONARDO PINZON URIBE</t>
  </si>
  <si>
    <t xml:space="preserve">LUIS ERNESTO GERENA SALAS </t>
  </si>
  <si>
    <t>SEDE ATENDIDA CON SOPORTE MOVIL (SI/NO)</t>
  </si>
  <si>
    <t>Desktop (08/10/2021)</t>
  </si>
  <si>
    <t>Laptop (08/10/2021)</t>
  </si>
  <si>
    <t>Equipos - SENA - ANTIGUOS</t>
  </si>
  <si>
    <t>Equipos - SENA NUEVOS 50K Colombia compara eficiente</t>
  </si>
  <si>
    <t>Equipos -TELEFONICA</t>
  </si>
  <si>
    <t>Total equipos</t>
  </si>
  <si>
    <t>Equipos Impactados</t>
  </si>
  <si>
    <t xml:space="preserve">TSS Actuales </t>
  </si>
  <si>
    <t>EQUIPOS SIN INPACTAR</t>
  </si>
  <si>
    <t>FECHA MAX ENTREGA</t>
  </si>
  <si>
    <t>ESTADO</t>
  </si>
  <si>
    <t xml:space="preserve">NO  </t>
  </si>
  <si>
    <t>NO EXISTE</t>
  </si>
  <si>
    <t>Equipos del Sindicato</t>
  </si>
  <si>
    <t>#VALUE!</t>
  </si>
  <si>
    <t>N</t>
  </si>
  <si>
    <t>CERRADA</t>
  </si>
  <si>
    <t>CAS</t>
  </si>
  <si>
    <t>31/04/2023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</si>
</sst>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9"/>
      <color rgb="FF000000"/>
      <name val="Calibri"/>
    </font>
    <font>
      <sz val="10"/>
      <color rgb="FF000000"/>
      <name val="Arial Narrow"/>
    </font>
    <font>
      <b/>
      <sz val="11"/>
      <color rgb="FFFFFFFF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BEAFE"/>
        <bgColor rgb="FFDBEAFE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DCFCE7"/>
        <bgColor rgb="FFDCFCE7"/>
      </patternFill>
    </fill>
    <fill>
      <patternFill patternType="solid">
        <fgColor rgb="FF2F75B5"/>
        <bgColor rgb="FF2F75B5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F4B084"/>
        <bgColor rgb="FFF4B084"/>
      </patternFill>
    </fill>
    <fill>
      <patternFill patternType="solid">
        <fgColor rgb="FF44546A"/>
        <bgColor rgb="FF44546A"/>
      </patternFill>
    </fill>
    <fill>
      <patternFill patternType="solid">
        <fgColor rgb="FF548235"/>
        <bgColor rgb="FF548235"/>
      </patternFill>
    </fill>
    <fill>
      <patternFill patternType="solid">
        <fgColor rgb="FFED7D31"/>
        <bgColor rgb="FFED7D31"/>
      </patternFill>
    </fill>
    <fill>
      <patternFill patternType="solid">
        <fgColor rgb="FF305496"/>
        <bgColor rgb="FF305496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2" xfId="0" applyFont="1" applyBorder="1"/>
    <xf numFmtId="0" fontId="1" fillId="2" borderId="2" xfId="0" applyFont="1" applyFill="1" applyBorder="1" applyAlignment="1">
      <alignment horizontal="center" wrapText="1"/>
    </xf>
    <xf numFmtId="1" fontId="1" fillId="2" borderId="2" xfId="0" applyNumberFormat="1" applyFont="1" applyFill="1" applyBorder="1" applyAlignment="1">
      <alignment horizontal="center" wrapText="1"/>
    </xf>
    <xf numFmtId="49" fontId="1" fillId="2" borderId="2" xfId="0" applyNumberFormat="1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left" wrapText="1"/>
    </xf>
    <xf numFmtId="0" fontId="3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left"/>
    </xf>
    <xf numFmtId="14" fontId="3" fillId="3" borderId="3" xfId="0" applyNumberFormat="1" applyFont="1" applyFill="1" applyBorder="1" applyAlignment="1">
      <alignment horizontal="center"/>
    </xf>
    <xf numFmtId="49" fontId="1" fillId="3" borderId="2" xfId="0" applyNumberFormat="1" applyFont="1" applyFill="1" applyBorder="1"/>
    <xf numFmtId="0" fontId="3" fillId="3" borderId="4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wrapText="1"/>
    </xf>
    <xf numFmtId="0" fontId="3" fillId="3" borderId="2" xfId="0" applyFont="1" applyFill="1" applyBorder="1"/>
    <xf numFmtId="0" fontId="1" fillId="3" borderId="2" xfId="0" applyFont="1" applyFill="1" applyBorder="1"/>
    <xf numFmtId="49" fontId="1" fillId="3" borderId="2" xfId="0" applyNumberFormat="1" applyFont="1" applyFill="1" applyBorder="1" applyAlignment="1">
      <alignment wrapText="1"/>
    </xf>
    <xf numFmtId="0" fontId="1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left"/>
    </xf>
    <xf numFmtId="49" fontId="1" fillId="2" borderId="2" xfId="0" applyNumberFormat="1" applyFont="1" applyFill="1" applyBorder="1"/>
    <xf numFmtId="0" fontId="3" fillId="2" borderId="4" xfId="0" applyFont="1" applyFill="1" applyBorder="1" applyAlignment="1">
      <alignment horizontal="center" wrapText="1"/>
    </xf>
    <xf numFmtId="49" fontId="1" fillId="2" borderId="2" xfId="0" applyNumberFormat="1" applyFont="1" applyFill="1" applyBorder="1" applyAlignment="1">
      <alignment wrapText="1"/>
    </xf>
    <xf numFmtId="0" fontId="3" fillId="2" borderId="2" xfId="0" applyFont="1" applyFill="1" applyBorder="1"/>
    <xf numFmtId="0" fontId="3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left"/>
    </xf>
    <xf numFmtId="49" fontId="1" fillId="4" borderId="2" xfId="0" applyNumberFormat="1" applyFont="1" applyFill="1" applyBorder="1"/>
    <xf numFmtId="0" fontId="3" fillId="4" borderId="4" xfId="0" applyFont="1" applyFill="1" applyBorder="1" applyAlignment="1">
      <alignment horizontal="center" wrapText="1"/>
    </xf>
    <xf numFmtId="49" fontId="1" fillId="4" borderId="2" xfId="0" applyNumberFormat="1" applyFont="1" applyFill="1" applyBorder="1" applyAlignment="1">
      <alignment wrapText="1"/>
    </xf>
    <xf numFmtId="0" fontId="3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left"/>
    </xf>
    <xf numFmtId="14" fontId="1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wrapText="1"/>
    </xf>
    <xf numFmtId="0" fontId="1" fillId="4" borderId="2" xfId="0" applyFont="1" applyFill="1" applyBorder="1" applyAlignment="1">
      <alignment horizontal="left"/>
    </xf>
    <xf numFmtId="14" fontId="1" fillId="4" borderId="2" xfId="0" applyNumberFormat="1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wrapText="1"/>
    </xf>
    <xf numFmtId="0" fontId="1" fillId="4" borderId="2" xfId="0" applyFont="1" applyFill="1" applyBorder="1" applyAlignment="1">
      <alignment wrapText="1"/>
    </xf>
    <xf numFmtId="14" fontId="3" fillId="2" borderId="2" xfId="0" applyNumberFormat="1" applyFont="1" applyFill="1" applyBorder="1" applyAlignment="1">
      <alignment horizontal="center"/>
    </xf>
    <xf numFmtId="0" fontId="3" fillId="4" borderId="2" xfId="0" applyFont="1" applyFill="1" applyBorder="1" applyAlignment="1">
      <alignment wrapText="1"/>
    </xf>
    <xf numFmtId="0" fontId="1" fillId="2" borderId="2" xfId="0" applyFont="1" applyFill="1" applyBorder="1"/>
    <xf numFmtId="0" fontId="1" fillId="5" borderId="2" xfId="0" applyFont="1" applyFill="1" applyBorder="1" applyAlignment="1">
      <alignment horizontal="center" wrapText="1"/>
    </xf>
    <xf numFmtId="1" fontId="1" fillId="5" borderId="2" xfId="0" applyNumberFormat="1" applyFont="1" applyFill="1" applyBorder="1" applyAlignment="1">
      <alignment horizontal="center" wrapText="1"/>
    </xf>
    <xf numFmtId="49" fontId="1" fillId="5" borderId="2" xfId="0" applyNumberFormat="1" applyFont="1" applyFill="1" applyBorder="1" applyAlignment="1">
      <alignment horizontal="center" wrapText="1"/>
    </xf>
    <xf numFmtId="14" fontId="1" fillId="3" borderId="2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/>
    </xf>
    <xf numFmtId="14" fontId="1" fillId="6" borderId="2" xfId="0" applyNumberFormat="1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 wrapText="1"/>
    </xf>
    <xf numFmtId="0" fontId="2" fillId="0" borderId="2" xfId="0" applyFont="1" applyBorder="1"/>
    <xf numFmtId="0" fontId="3" fillId="5" borderId="2" xfId="0" applyFont="1" applyFill="1" applyBorder="1" applyAlignment="1">
      <alignment horizontal="center"/>
    </xf>
    <xf numFmtId="22" fontId="1" fillId="0" borderId="2" xfId="0" applyNumberFormat="1" applyFont="1" applyBorder="1"/>
    <xf numFmtId="49" fontId="1" fillId="0" borderId="2" xfId="0" applyNumberFormat="1" applyFont="1" applyBorder="1"/>
    <xf numFmtId="0" fontId="3" fillId="0" borderId="2" xfId="0" applyFont="1" applyBorder="1"/>
    <xf numFmtId="0" fontId="4" fillId="7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 wrapText="1"/>
    </xf>
    <xf numFmtId="0" fontId="8" fillId="12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13" borderId="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left" vertical="center" wrapText="1"/>
    </xf>
    <xf numFmtId="0" fontId="4" fillId="12" borderId="9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/>
    </xf>
    <xf numFmtId="14" fontId="6" fillId="0" borderId="2" xfId="0" applyNumberFormat="1" applyFont="1" applyBorder="1" applyAlignment="1">
      <alignment horizontal="center"/>
    </xf>
    <xf numFmtId="14" fontId="6" fillId="0" borderId="2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left"/>
    </xf>
    <xf numFmtId="0" fontId="6" fillId="0" borderId="6" xfId="0" applyFont="1" applyBorder="1" applyAlignment="1">
      <alignment horizontal="center"/>
    </xf>
    <xf numFmtId="14" fontId="6" fillId="0" borderId="6" xfId="0" applyNumberFormat="1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theme="0"/>
          <bgColor theme="0"/>
        </patternFill>
      </fill>
    </dxf>
  </dxfs>
  <tableStyles count="2">
    <tableStyle name="EquiposTelefonica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Registros Cambio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A999">
  <tableColumns count="53">
    <tableColumn id="1" xr3:uid="{00000000-0010-0000-0000-000001000000}" name="HOSTNAME"/>
    <tableColumn id="2" xr3:uid="{00000000-0010-0000-0000-000002000000}" name="TIPO"/>
    <tableColumn id="3" xr3:uid="{00000000-0010-0000-0000-000003000000}" name="PROPIETARIO"/>
    <tableColumn id="4" xr3:uid="{00000000-0010-0000-0000-000004000000}" name="MARCA"/>
    <tableColumn id="5" xr3:uid="{00000000-0010-0000-0000-000005000000}" name="MODELO"/>
    <tableColumn id="6" xr3:uid="{00000000-0010-0000-0000-000006000000}" name="SERIAL"/>
    <tableColumn id="7" xr3:uid="{00000000-0010-0000-0000-000007000000}" name="PLACA"/>
    <tableColumn id="8" xr3:uid="{00000000-0010-0000-0000-000008000000}" name="ID SEDE"/>
    <tableColumn id="9" xr3:uid="{00000000-0010-0000-0000-000009000000}" name="NOMBRE DE LA SEDE"/>
    <tableColumn id="10" xr3:uid="{00000000-0010-0000-0000-00000A000000}" name="CIUDAD"/>
    <tableColumn id="11" xr3:uid="{00000000-0010-0000-0000-00000B000000}" name="UBICACIÓN"/>
    <tableColumn id="12" xr3:uid="{00000000-0010-0000-0000-00000C000000}" name="NOMBRE DE LA OFICINA O AMBIENTE"/>
    <tableColumn id="13" xr3:uid="{00000000-0010-0000-0000-00000D000000}" name="PISO"/>
    <tableColumn id="14" xr3:uid="{00000000-0010-0000-0000-00000E000000}" name="NOMBRE DEL USUARIO"/>
    <tableColumn id="15" xr3:uid="{00000000-0010-0000-0000-00000F000000}" name="TIPO DE USUARIO"/>
    <tableColumn id="16" xr3:uid="{00000000-0010-0000-0000-000010000000}" name="TIPO DE RED"/>
    <tableColumn id="17" xr3:uid="{00000000-0010-0000-0000-000011000000}" name="PROCESADOR"/>
    <tableColumn id="18" xr3:uid="{00000000-0010-0000-0000-000012000000}" name="TIPO DISCO 1"/>
    <tableColumn id="19" xr3:uid="{00000000-0010-0000-0000-000013000000}" name="TAMAÑO DISCO 1"/>
    <tableColumn id="20" xr3:uid="{00000000-0010-0000-0000-000014000000}" name="TIPO DISCO 2"/>
    <tableColumn id="21" xr3:uid="{00000000-0010-0000-0000-000015000000}" name="TAMAÑO DISCO 2"/>
    <tableColumn id="22" xr3:uid="{00000000-0010-0000-0000-000016000000}" name="TIPO MEMORIA"/>
    <tableColumn id="23" xr3:uid="{00000000-0010-0000-0000-000017000000}" name="TAMAÑO MEMORIA"/>
    <tableColumn id="24" xr3:uid="{00000000-0010-0000-0000-000018000000}" name="TARJETA DE VIDEO"/>
    <tableColumn id="25" xr3:uid="{00000000-0010-0000-0000-000019000000}" name="CAMBIO DE PARTE"/>
    <tableColumn id="26" xr3:uid="{00000000-0010-0000-0000-00001A000000}" name="CAMBIO DE PARTE 2"/>
    <tableColumn id="27" xr3:uid="{00000000-0010-0000-0000-00001B000000}" name="# DE CASO PARA REPUESTO"/>
    <tableColumn id="28" xr3:uid="{00000000-0010-0000-0000-00001C000000}" name="PLACA MONITOR"/>
    <tableColumn id="29" xr3:uid="{00000000-0010-0000-0000-00001D000000}" name="PLACA MOUSE "/>
    <tableColumn id="30" xr3:uid="{00000000-0010-0000-0000-00001E000000}" name="PLACA TECLADO"/>
    <tableColumn id="31" xr3:uid="{00000000-0010-0000-0000-00001F000000}" name="PLACA CARGADOR"/>
    <tableColumn id="32" xr3:uid="{00000000-0010-0000-0000-000020000000}" name="MAC:RED CABLEADA"/>
    <tableColumn id="33" xr3:uid="{00000000-0010-0000-0000-000021000000}" name="MAC RED INALAMBRICA"/>
    <tableColumn id="34" xr3:uid="{00000000-0010-0000-0000-000022000000}" name="SISTEMA OPERATIVO"/>
    <tableColumn id="35" xr3:uid="{00000000-0010-0000-0000-000023000000}" name="VERSION DEL S.O."/>
    <tableColumn id="36" xr3:uid="{00000000-0010-0000-0000-000024000000}" name="ANTIVIRUS"/>
    <tableColumn id="37" xr3:uid="{00000000-0010-0000-0000-000025000000}" name="OFFICE"/>
    <tableColumn id="38" xr3:uid="{00000000-0010-0000-0000-000026000000}" name="ADOBE"/>
    <tableColumn id="39" xr3:uid="{00000000-0010-0000-0000-000027000000}" name="LAPS"/>
    <tableColumn id="40" xr3:uid="{00000000-0010-0000-0000-000028000000}" name="7ZIP"/>
    <tableColumn id="41" xr3:uid="{00000000-0010-0000-0000-000029000000}" name="VPN"/>
    <tableColumn id="42" xr3:uid="{00000000-0010-0000-0000-00002A000000}" name="JAMF"/>
    <tableColumn id="43" xr3:uid="{00000000-0010-0000-0000-00002B000000}" name="OTRO SOFTWARE "/>
    <tableColumn id="44" xr3:uid="{00000000-0010-0000-0000-00002C000000}" name="ESTADO DEL EQUIPO"/>
    <tableColumn id="45" xr3:uid="{00000000-0010-0000-0000-00002D000000}" name="TIENE DOMINIO"/>
    <tableColumn id="46" xr3:uid="{00000000-0010-0000-0000-00002E000000}" name="EN QUE DOMINIO SE ENCUENTRA"/>
    <tableColumn id="47" xr3:uid="{00000000-0010-0000-0000-00002F000000}" name="CONTRASEÑA BIOS"/>
    <tableColumn id="48" xr3:uid="{00000000-0010-0000-0000-000030000000}" name="FECHA ULTIMO MANTENIMIENTO"/>
    <tableColumn id="49" xr3:uid="{00000000-0010-0000-0000-000031000000}" name="FECHA IMPACTO MAQUINA"/>
    <tableColumn id="50" xr3:uid="{00000000-0010-0000-0000-000032000000}" name="ASS"/>
    <tableColumn id="51" xr3:uid="{00000000-0010-0000-0000-000033000000}" name="OBSERVACIONES"/>
    <tableColumn id="52" xr3:uid="{00000000-0010-0000-0000-000034000000}" name="RESPONSABLE DEL PRIMER MANTENIMIENTO ABRIL 2026"/>
    <tableColumn id="53" xr3:uid="{00000000-0010-0000-0000-000035000000}" name="RESPONSABLE DEL SEGUNDO MANTENIMIENTO OCTUBRE 2026"/>
  </tableColumns>
  <tableStyleInfo name="EquiposTelefonic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997"/>
  <sheetViews>
    <sheetView showGridLines="0" topLeftCell="AQ1" workbookViewId="0">
      <pane ySplit="1" topLeftCell="A2" activePane="bottomLeft" state="frozen"/>
      <selection pane="bottomLeft" activeCell="B3" sqref="B3"/>
    </sheetView>
  </sheetViews>
  <sheetFormatPr baseColWidth="10" defaultColWidth="14.42578125" defaultRowHeight="15" customHeight="1" x14ac:dyDescent="0.25"/>
  <cols>
    <col min="1" max="1" width="19.85546875" customWidth="1"/>
    <col min="2" max="2" width="14" customWidth="1"/>
    <col min="3" max="3" width="13.42578125" customWidth="1"/>
    <col min="4" max="4" width="8.5703125" customWidth="1"/>
    <col min="5" max="5" width="19.7109375" customWidth="1"/>
    <col min="6" max="6" width="25.85546875" customWidth="1"/>
    <col min="7" max="7" width="18.5703125" customWidth="1"/>
    <col min="8" max="8" width="8" customWidth="1"/>
    <col min="9" max="9" width="20.140625" customWidth="1"/>
    <col min="10" max="10" width="9.7109375" customWidth="1"/>
    <col min="11" max="11" width="19.5703125" customWidth="1"/>
    <col min="12" max="12" width="24.28515625" customWidth="1"/>
    <col min="13" max="13" width="9.140625" customWidth="1"/>
    <col min="14" max="14" width="31.5703125" customWidth="1"/>
    <col min="15" max="15" width="26" customWidth="1"/>
    <col min="16" max="16" width="18.85546875" customWidth="1"/>
    <col min="17" max="17" width="53.5703125" customWidth="1"/>
    <col min="18" max="18" width="12.85546875" customWidth="1"/>
    <col min="19" max="19" width="12.42578125" customWidth="1"/>
    <col min="20" max="20" width="11.42578125" customWidth="1"/>
    <col min="21" max="21" width="10.85546875" customWidth="1"/>
    <col min="22" max="22" width="13.28515625" customWidth="1"/>
    <col min="23" max="23" width="14.28515625" customWidth="1"/>
    <col min="24" max="24" width="25.28515625" customWidth="1"/>
    <col min="25" max="26" width="15" customWidth="1"/>
    <col min="27" max="27" width="19.140625" customWidth="1"/>
    <col min="28" max="28" width="16.5703125" customWidth="1"/>
    <col min="29" max="29" width="27.5703125" customWidth="1"/>
    <col min="30" max="30" width="29.140625" customWidth="1"/>
    <col min="31" max="31" width="20.7109375" customWidth="1"/>
    <col min="32" max="32" width="22.85546875" customWidth="1"/>
    <col min="33" max="33" width="25.5703125" customWidth="1"/>
    <col min="34" max="34" width="24.7109375" customWidth="1"/>
    <col min="35" max="35" width="17.5703125" customWidth="1"/>
    <col min="36" max="36" width="13.28515625" customWidth="1"/>
    <col min="37" max="37" width="9.5703125" customWidth="1"/>
    <col min="38" max="38" width="14.42578125" customWidth="1"/>
    <col min="39" max="39" width="15.7109375" customWidth="1"/>
    <col min="40" max="40" width="10.85546875" customWidth="1"/>
    <col min="41" max="41" width="10" customWidth="1"/>
    <col min="42" max="42" width="13.42578125" customWidth="1"/>
    <col min="43" max="43" width="17.5703125" customWidth="1"/>
    <col min="44" max="44" width="20.5703125" customWidth="1"/>
    <col min="45" max="45" width="17.85546875" customWidth="1"/>
    <col min="46" max="46" width="21.85546875" customWidth="1"/>
    <col min="47" max="47" width="12.85546875" customWidth="1"/>
    <col min="48" max="48" width="25" customWidth="1"/>
    <col min="49" max="49" width="16" customWidth="1"/>
    <col min="50" max="50" width="38.7109375" customWidth="1"/>
    <col min="51" max="51" width="56.85546875" customWidth="1"/>
    <col min="52" max="52" width="22.5703125" customWidth="1"/>
    <col min="53" max="53" width="27.140625" customWidth="1"/>
  </cols>
  <sheetData>
    <row r="1" spans="1:53" ht="30" x14ac:dyDescent="0.25">
      <c r="A1" s="2" t="s">
        <v>20</v>
      </c>
      <c r="B1" s="2" t="s">
        <v>21</v>
      </c>
      <c r="C1" s="2" t="s">
        <v>22</v>
      </c>
      <c r="D1" s="2" t="s">
        <v>0</v>
      </c>
      <c r="E1" s="2" t="s">
        <v>1</v>
      </c>
      <c r="F1" s="3" t="s">
        <v>2</v>
      </c>
      <c r="G1" s="3" t="s">
        <v>3</v>
      </c>
      <c r="H1" s="4" t="s">
        <v>4</v>
      </c>
      <c r="I1" s="2" t="s">
        <v>5</v>
      </c>
      <c r="J1" s="2" t="s">
        <v>6</v>
      </c>
      <c r="K1" s="2" t="s">
        <v>7</v>
      </c>
      <c r="L1" s="5" t="s">
        <v>23</v>
      </c>
      <c r="M1" s="2" t="s">
        <v>8</v>
      </c>
      <c r="N1" s="2" t="s">
        <v>24</v>
      </c>
      <c r="O1" s="2" t="s">
        <v>9</v>
      </c>
      <c r="P1" s="2" t="s">
        <v>10</v>
      </c>
      <c r="Q1" s="2" t="s">
        <v>25</v>
      </c>
      <c r="R1" s="2" t="s">
        <v>26</v>
      </c>
      <c r="S1" s="2" t="s">
        <v>27</v>
      </c>
      <c r="T1" s="2" t="s">
        <v>28</v>
      </c>
      <c r="U1" s="2" t="s">
        <v>29</v>
      </c>
      <c r="V1" s="2" t="s">
        <v>30</v>
      </c>
      <c r="W1" s="2" t="s">
        <v>31</v>
      </c>
      <c r="X1" s="2" t="s">
        <v>32</v>
      </c>
      <c r="Y1" s="2" t="s">
        <v>11</v>
      </c>
      <c r="Z1" s="2" t="s">
        <v>12</v>
      </c>
      <c r="AA1" s="2" t="s">
        <v>13</v>
      </c>
      <c r="AB1" s="2" t="s">
        <v>33</v>
      </c>
      <c r="AC1" s="2" t="s">
        <v>34</v>
      </c>
      <c r="AD1" s="3" t="s">
        <v>35</v>
      </c>
      <c r="AE1" s="2" t="s">
        <v>36</v>
      </c>
      <c r="AF1" s="2" t="s">
        <v>37</v>
      </c>
      <c r="AG1" s="2" t="s">
        <v>38</v>
      </c>
      <c r="AH1" s="2" t="s">
        <v>39</v>
      </c>
      <c r="AI1" s="2" t="s">
        <v>40</v>
      </c>
      <c r="AJ1" s="2" t="s">
        <v>41</v>
      </c>
      <c r="AK1" s="2" t="s">
        <v>42</v>
      </c>
      <c r="AL1" s="2" t="s">
        <v>43</v>
      </c>
      <c r="AM1" s="2" t="s">
        <v>44</v>
      </c>
      <c r="AN1" s="6" t="s">
        <v>45</v>
      </c>
      <c r="AO1" s="2" t="s">
        <v>46</v>
      </c>
      <c r="AP1" s="2" t="s">
        <v>47</v>
      </c>
      <c r="AQ1" s="2" t="s">
        <v>48</v>
      </c>
      <c r="AR1" s="2" t="s">
        <v>49</v>
      </c>
      <c r="AS1" s="2" t="s">
        <v>50</v>
      </c>
      <c r="AT1" s="2" t="s">
        <v>51</v>
      </c>
      <c r="AU1" s="2" t="s">
        <v>52</v>
      </c>
      <c r="AV1" s="2" t="s">
        <v>14</v>
      </c>
      <c r="AW1" s="2" t="s">
        <v>15</v>
      </c>
      <c r="AX1" s="2" t="s">
        <v>16</v>
      </c>
      <c r="AY1" s="2" t="s">
        <v>53</v>
      </c>
      <c r="AZ1" s="7" t="s">
        <v>54</v>
      </c>
      <c r="BA1" s="7" t="s">
        <v>55</v>
      </c>
    </row>
    <row r="2" spans="1:53" ht="30" x14ac:dyDescent="0.25">
      <c r="A2" s="8" t="s">
        <v>56</v>
      </c>
      <c r="B2" s="8" t="s">
        <v>57</v>
      </c>
      <c r="C2" s="8" t="s">
        <v>58</v>
      </c>
      <c r="D2" s="8" t="s">
        <v>59</v>
      </c>
      <c r="E2" s="9" t="s">
        <v>60</v>
      </c>
      <c r="F2" s="10" t="s">
        <v>61</v>
      </c>
      <c r="G2" s="10" t="s">
        <v>62</v>
      </c>
      <c r="H2" s="8">
        <v>65</v>
      </c>
      <c r="I2" s="8" t="s">
        <v>63</v>
      </c>
      <c r="J2" s="8" t="s">
        <v>64</v>
      </c>
      <c r="K2" s="8" t="s">
        <v>65</v>
      </c>
      <c r="L2" s="11" t="s">
        <v>66</v>
      </c>
      <c r="M2" s="8">
        <v>2</v>
      </c>
      <c r="N2" s="8" t="s">
        <v>67</v>
      </c>
      <c r="O2" s="8" t="s">
        <v>68</v>
      </c>
      <c r="P2" s="9" t="s">
        <v>69</v>
      </c>
      <c r="Q2" s="8" t="s">
        <v>70</v>
      </c>
      <c r="R2" s="8" t="s">
        <v>71</v>
      </c>
      <c r="S2" s="8" t="s">
        <v>72</v>
      </c>
      <c r="T2" s="8" t="s">
        <v>18</v>
      </c>
      <c r="U2" s="8" t="s">
        <v>18</v>
      </c>
      <c r="V2" s="8" t="s">
        <v>73</v>
      </c>
      <c r="W2" s="8" t="s">
        <v>74</v>
      </c>
      <c r="X2" s="8" t="s">
        <v>75</v>
      </c>
      <c r="Y2" s="8" t="s">
        <v>18</v>
      </c>
      <c r="Z2" s="8" t="s">
        <v>18</v>
      </c>
      <c r="AA2" s="8" t="s">
        <v>18</v>
      </c>
      <c r="AB2" s="8" t="s">
        <v>76</v>
      </c>
      <c r="AC2" s="8" t="s">
        <v>77</v>
      </c>
      <c r="AD2" s="8" t="s">
        <v>18</v>
      </c>
      <c r="AE2" s="8" t="s">
        <v>18</v>
      </c>
      <c r="AF2" s="8" t="s">
        <v>78</v>
      </c>
      <c r="AG2" s="8" t="s">
        <v>79</v>
      </c>
      <c r="AH2" s="8" t="s">
        <v>80</v>
      </c>
      <c r="AI2" s="8" t="s">
        <v>81</v>
      </c>
      <c r="AJ2" s="8" t="s">
        <v>45</v>
      </c>
      <c r="AK2" s="8" t="s">
        <v>45</v>
      </c>
      <c r="AL2" s="8" t="s">
        <v>45</v>
      </c>
      <c r="AM2" s="8" t="s">
        <v>82</v>
      </c>
      <c r="AN2" s="8" t="s">
        <v>45</v>
      </c>
      <c r="AO2" s="8" t="s">
        <v>82</v>
      </c>
      <c r="AP2" s="8" t="s">
        <v>82</v>
      </c>
      <c r="AQ2" s="8" t="s">
        <v>18</v>
      </c>
      <c r="AR2" s="8" t="s">
        <v>83</v>
      </c>
      <c r="AS2" s="8" t="s">
        <v>45</v>
      </c>
      <c r="AT2" s="8" t="s">
        <v>84</v>
      </c>
      <c r="AU2" s="8" t="s">
        <v>82</v>
      </c>
      <c r="AV2" s="12">
        <v>46154</v>
      </c>
      <c r="AW2" s="12">
        <v>46154</v>
      </c>
      <c r="AX2" s="13"/>
      <c r="AY2" s="14" t="s">
        <v>85</v>
      </c>
      <c r="AZ2" s="15" t="s">
        <v>86</v>
      </c>
      <c r="BA2" s="16"/>
    </row>
    <row r="3" spans="1:53" ht="30" x14ac:dyDescent="0.25">
      <c r="A3" s="8" t="s">
        <v>87</v>
      </c>
      <c r="B3" s="8" t="s">
        <v>57</v>
      </c>
      <c r="C3" s="8" t="s">
        <v>58</v>
      </c>
      <c r="D3" s="8" t="s">
        <v>59</v>
      </c>
      <c r="E3" s="9" t="s">
        <v>60</v>
      </c>
      <c r="F3" s="8" t="s">
        <v>88</v>
      </c>
      <c r="G3" s="8" t="s">
        <v>89</v>
      </c>
      <c r="H3" s="8">
        <v>65</v>
      </c>
      <c r="I3" s="8" t="s">
        <v>63</v>
      </c>
      <c r="J3" s="8" t="s">
        <v>64</v>
      </c>
      <c r="K3" s="8" t="s">
        <v>65</v>
      </c>
      <c r="L3" s="11" t="s">
        <v>66</v>
      </c>
      <c r="M3" s="8">
        <v>2</v>
      </c>
      <c r="N3" s="8" t="s">
        <v>90</v>
      </c>
      <c r="O3" s="8" t="s">
        <v>68</v>
      </c>
      <c r="P3" s="9" t="s">
        <v>69</v>
      </c>
      <c r="Q3" s="8" t="s">
        <v>70</v>
      </c>
      <c r="R3" s="8" t="s">
        <v>71</v>
      </c>
      <c r="S3" s="8" t="s">
        <v>72</v>
      </c>
      <c r="T3" s="8" t="s">
        <v>18</v>
      </c>
      <c r="U3" s="8" t="s">
        <v>18</v>
      </c>
      <c r="V3" s="8" t="s">
        <v>73</v>
      </c>
      <c r="W3" s="8" t="s">
        <v>74</v>
      </c>
      <c r="X3" s="8" t="s">
        <v>75</v>
      </c>
      <c r="Y3" s="8" t="s">
        <v>18</v>
      </c>
      <c r="Z3" s="8" t="s">
        <v>18</v>
      </c>
      <c r="AA3" s="8" t="s">
        <v>18</v>
      </c>
      <c r="AB3" s="8" t="s">
        <v>91</v>
      </c>
      <c r="AC3" s="8" t="s">
        <v>92</v>
      </c>
      <c r="AD3" s="8" t="s">
        <v>18</v>
      </c>
      <c r="AE3" s="8" t="s">
        <v>18</v>
      </c>
      <c r="AF3" s="8" t="s">
        <v>93</v>
      </c>
      <c r="AG3" s="8" t="s">
        <v>94</v>
      </c>
      <c r="AH3" s="8" t="s">
        <v>80</v>
      </c>
      <c r="AI3" s="8" t="s">
        <v>81</v>
      </c>
      <c r="AJ3" s="8" t="s">
        <v>45</v>
      </c>
      <c r="AK3" s="8" t="s">
        <v>45</v>
      </c>
      <c r="AL3" s="8" t="s">
        <v>45</v>
      </c>
      <c r="AM3" s="8" t="s">
        <v>82</v>
      </c>
      <c r="AN3" s="8" t="s">
        <v>45</v>
      </c>
      <c r="AO3" s="8" t="s">
        <v>82</v>
      </c>
      <c r="AP3" s="8" t="s">
        <v>82</v>
      </c>
      <c r="AQ3" s="8" t="s">
        <v>18</v>
      </c>
      <c r="AR3" s="8" t="s">
        <v>83</v>
      </c>
      <c r="AS3" s="8" t="s">
        <v>45</v>
      </c>
      <c r="AT3" s="8" t="s">
        <v>84</v>
      </c>
      <c r="AU3" s="8" t="s">
        <v>82</v>
      </c>
      <c r="AV3" s="12">
        <v>46154</v>
      </c>
      <c r="AW3" s="12">
        <v>46154</v>
      </c>
      <c r="AX3" s="13"/>
      <c r="AY3" s="14" t="s">
        <v>85</v>
      </c>
      <c r="AZ3" s="15" t="s">
        <v>86</v>
      </c>
      <c r="BA3" s="16"/>
    </row>
    <row r="4" spans="1:53" x14ac:dyDescent="0.25">
      <c r="A4" s="8" t="s">
        <v>56</v>
      </c>
      <c r="B4" s="8"/>
      <c r="C4" s="8"/>
      <c r="D4" s="8" t="s">
        <v>59</v>
      </c>
      <c r="E4" s="9" t="s">
        <v>60</v>
      </c>
      <c r="F4" s="8" t="s">
        <v>95</v>
      </c>
      <c r="G4" s="8" t="s">
        <v>96</v>
      </c>
      <c r="H4" s="8">
        <v>65</v>
      </c>
      <c r="I4" s="8" t="s">
        <v>63</v>
      </c>
      <c r="J4" s="8" t="s">
        <v>64</v>
      </c>
      <c r="K4" s="8" t="s">
        <v>65</v>
      </c>
      <c r="L4" s="11" t="s">
        <v>97</v>
      </c>
      <c r="M4" s="8">
        <v>2</v>
      </c>
      <c r="N4" s="8" t="s">
        <v>98</v>
      </c>
      <c r="O4" s="8" t="s">
        <v>68</v>
      </c>
      <c r="P4" s="9" t="s">
        <v>69</v>
      </c>
      <c r="Q4" s="8" t="s">
        <v>70</v>
      </c>
      <c r="R4" s="8" t="s">
        <v>71</v>
      </c>
      <c r="S4" s="8" t="s">
        <v>72</v>
      </c>
      <c r="T4" s="8" t="s">
        <v>18</v>
      </c>
      <c r="U4" s="8" t="s">
        <v>18</v>
      </c>
      <c r="V4" s="8" t="s">
        <v>73</v>
      </c>
      <c r="W4" s="8" t="s">
        <v>74</v>
      </c>
      <c r="X4" s="8" t="s">
        <v>75</v>
      </c>
      <c r="Y4" s="8" t="s">
        <v>18</v>
      </c>
      <c r="Z4" s="8" t="s">
        <v>18</v>
      </c>
      <c r="AA4" s="8" t="s">
        <v>18</v>
      </c>
      <c r="AB4" s="8" t="s">
        <v>18</v>
      </c>
      <c r="AC4" s="8" t="s">
        <v>18</v>
      </c>
      <c r="AD4" s="8" t="s">
        <v>18</v>
      </c>
      <c r="AE4" s="8" t="s">
        <v>18</v>
      </c>
      <c r="AF4" s="8" t="s">
        <v>99</v>
      </c>
      <c r="AG4" s="8" t="s">
        <v>100</v>
      </c>
      <c r="AH4" s="8" t="s">
        <v>80</v>
      </c>
      <c r="AI4" s="8" t="s">
        <v>81</v>
      </c>
      <c r="AJ4" s="8" t="s">
        <v>45</v>
      </c>
      <c r="AK4" s="8" t="s">
        <v>45</v>
      </c>
      <c r="AL4" s="8" t="s">
        <v>45</v>
      </c>
      <c r="AM4" s="8" t="s">
        <v>82</v>
      </c>
      <c r="AN4" s="8" t="s">
        <v>45</v>
      </c>
      <c r="AO4" s="8" t="s">
        <v>18</v>
      </c>
      <c r="AP4" s="8" t="s">
        <v>82</v>
      </c>
      <c r="AQ4" s="8" t="s">
        <v>18</v>
      </c>
      <c r="AR4" s="8" t="s">
        <v>83</v>
      </c>
      <c r="AS4" s="8" t="s">
        <v>45</v>
      </c>
      <c r="AT4" s="8" t="s">
        <v>84</v>
      </c>
      <c r="AU4" s="8" t="s">
        <v>82</v>
      </c>
      <c r="AV4" s="12">
        <v>46156</v>
      </c>
      <c r="AW4" s="12">
        <v>46156</v>
      </c>
      <c r="AX4" s="17" t="s">
        <v>86</v>
      </c>
      <c r="AY4" s="14" t="s">
        <v>85</v>
      </c>
      <c r="AZ4" s="18"/>
      <c r="BA4" s="16"/>
    </row>
    <row r="5" spans="1:53" x14ac:dyDescent="0.25">
      <c r="A5" s="6"/>
      <c r="B5" s="6"/>
      <c r="C5" s="6"/>
      <c r="D5" s="6"/>
      <c r="E5" s="19"/>
      <c r="F5" s="6"/>
      <c r="G5" s="6"/>
      <c r="H5" s="6"/>
      <c r="I5" s="6"/>
      <c r="J5" s="6"/>
      <c r="K5" s="6"/>
      <c r="L5" s="20"/>
      <c r="M5" s="6"/>
      <c r="N5" s="6"/>
      <c r="O5" s="6"/>
      <c r="P5" s="19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21"/>
      <c r="AY5" s="22"/>
      <c r="AZ5" s="23"/>
      <c r="BA5" s="24"/>
    </row>
    <row r="6" spans="1:53" x14ac:dyDescent="0.25">
      <c r="A6" s="25"/>
      <c r="B6" s="25"/>
      <c r="C6" s="25"/>
      <c r="D6" s="25"/>
      <c r="E6" s="26"/>
      <c r="F6" s="25"/>
      <c r="G6" s="25"/>
      <c r="H6" s="25"/>
      <c r="I6" s="25"/>
      <c r="J6" s="25"/>
      <c r="K6" s="25"/>
      <c r="L6" s="27"/>
      <c r="M6" s="25"/>
      <c r="N6" s="25"/>
      <c r="O6" s="25"/>
      <c r="P6" s="26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8"/>
      <c r="AY6" s="29"/>
      <c r="AZ6" s="30"/>
      <c r="BA6" s="31"/>
    </row>
    <row r="7" spans="1:53" x14ac:dyDescent="0.25">
      <c r="A7" s="6"/>
      <c r="B7" s="6"/>
      <c r="C7" s="6"/>
      <c r="D7" s="6"/>
      <c r="E7" s="19"/>
      <c r="F7" s="6"/>
      <c r="G7" s="6"/>
      <c r="H7" s="6"/>
      <c r="I7" s="6"/>
      <c r="J7" s="6"/>
      <c r="K7" s="6"/>
      <c r="L7" s="20"/>
      <c r="M7" s="6"/>
      <c r="N7" s="6"/>
      <c r="O7" s="6"/>
      <c r="P7" s="19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21"/>
      <c r="AY7" s="22"/>
      <c r="AZ7" s="23"/>
      <c r="BA7" s="24"/>
    </row>
    <row r="8" spans="1:53" ht="30" customHeight="1" x14ac:dyDescent="0.25">
      <c r="A8" s="25"/>
      <c r="B8" s="25"/>
      <c r="C8" s="25"/>
      <c r="D8" s="25"/>
      <c r="E8" s="26"/>
      <c r="F8" s="25"/>
      <c r="G8" s="25"/>
      <c r="H8" s="25"/>
      <c r="I8" s="25"/>
      <c r="J8" s="25"/>
      <c r="K8" s="25"/>
      <c r="L8" s="27"/>
      <c r="M8" s="25"/>
      <c r="N8" s="25"/>
      <c r="O8" s="25"/>
      <c r="P8" s="26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8"/>
      <c r="AY8" s="29"/>
      <c r="AZ8" s="30"/>
      <c r="BA8" s="31"/>
    </row>
    <row r="9" spans="1:53" x14ac:dyDescent="0.25">
      <c r="A9" s="6"/>
      <c r="B9" s="6"/>
      <c r="C9" s="6"/>
      <c r="D9" s="6"/>
      <c r="E9" s="19"/>
      <c r="F9" s="6"/>
      <c r="G9" s="6"/>
      <c r="H9" s="6"/>
      <c r="I9" s="6"/>
      <c r="J9" s="6"/>
      <c r="K9" s="6"/>
      <c r="L9" s="20"/>
      <c r="M9" s="6"/>
      <c r="N9" s="6"/>
      <c r="O9" s="6"/>
      <c r="P9" s="19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21"/>
      <c r="AY9" s="22"/>
      <c r="AZ9" s="23"/>
      <c r="BA9" s="24"/>
    </row>
    <row r="10" spans="1:53" x14ac:dyDescent="0.25">
      <c r="A10" s="25"/>
      <c r="B10" s="25"/>
      <c r="C10" s="25"/>
      <c r="D10" s="25"/>
      <c r="E10" s="26"/>
      <c r="F10" s="25"/>
      <c r="G10" s="25"/>
      <c r="H10" s="25"/>
      <c r="I10" s="25"/>
      <c r="J10" s="25"/>
      <c r="K10" s="25"/>
      <c r="L10" s="27"/>
      <c r="M10" s="25"/>
      <c r="N10" s="25"/>
      <c r="O10" s="25"/>
      <c r="P10" s="26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8"/>
      <c r="AY10" s="29"/>
      <c r="AZ10" s="30"/>
      <c r="BA10" s="31"/>
    </row>
    <row r="11" spans="1:53" x14ac:dyDescent="0.25">
      <c r="A11" s="6"/>
      <c r="B11" s="6"/>
      <c r="C11" s="6"/>
      <c r="D11" s="6"/>
      <c r="E11" s="19"/>
      <c r="F11" s="6"/>
      <c r="G11" s="6"/>
      <c r="H11" s="6"/>
      <c r="I11" s="6"/>
      <c r="J11" s="6"/>
      <c r="K11" s="6"/>
      <c r="L11" s="20"/>
      <c r="M11" s="6"/>
      <c r="N11" s="6"/>
      <c r="O11" s="6"/>
      <c r="P11" s="19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21"/>
      <c r="AY11" s="22"/>
      <c r="AZ11" s="23"/>
      <c r="BA11" s="24"/>
    </row>
    <row r="12" spans="1:53" x14ac:dyDescent="0.25">
      <c r="A12" s="32"/>
      <c r="B12" s="32"/>
      <c r="C12" s="32"/>
      <c r="D12" s="32"/>
      <c r="E12" s="26"/>
      <c r="F12" s="32"/>
      <c r="G12" s="32"/>
      <c r="H12" s="32"/>
      <c r="I12" s="32"/>
      <c r="J12" s="32"/>
      <c r="K12" s="25"/>
      <c r="L12" s="33"/>
      <c r="M12" s="32"/>
      <c r="N12" s="32"/>
      <c r="O12" s="32"/>
      <c r="P12" s="26"/>
      <c r="Q12" s="25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25"/>
      <c r="AD12" s="32"/>
      <c r="AE12" s="32"/>
      <c r="AF12" s="32"/>
      <c r="AG12" s="32"/>
      <c r="AH12" s="32"/>
      <c r="AI12" s="32"/>
      <c r="AJ12" s="32"/>
      <c r="AK12" s="32"/>
      <c r="AL12" s="32"/>
      <c r="AM12" s="25"/>
      <c r="AN12" s="25"/>
      <c r="AO12" s="32"/>
      <c r="AP12" s="32"/>
      <c r="AQ12" s="32"/>
      <c r="AR12" s="32"/>
      <c r="AS12" s="32"/>
      <c r="AT12" s="32"/>
      <c r="AU12" s="32"/>
      <c r="AV12" s="32"/>
      <c r="AW12" s="32"/>
      <c r="AX12" s="28"/>
      <c r="AY12" s="34"/>
      <c r="AZ12" s="30"/>
      <c r="BA12" s="31"/>
    </row>
    <row r="13" spans="1:53" x14ac:dyDescent="0.25">
      <c r="A13" s="6"/>
      <c r="B13" s="6"/>
      <c r="C13" s="6"/>
      <c r="D13" s="6"/>
      <c r="E13" s="19"/>
      <c r="F13" s="6"/>
      <c r="G13" s="6"/>
      <c r="H13" s="6"/>
      <c r="I13" s="6"/>
      <c r="J13" s="6"/>
      <c r="K13" s="6"/>
      <c r="L13" s="20"/>
      <c r="M13" s="7"/>
      <c r="N13" s="6"/>
      <c r="O13" s="6"/>
      <c r="P13" s="6"/>
      <c r="Q13" s="6"/>
      <c r="R13" s="6"/>
      <c r="S13" s="6"/>
      <c r="T13" s="7"/>
      <c r="U13" s="7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7"/>
      <c r="AW13" s="6"/>
      <c r="AX13" s="21"/>
      <c r="AY13" s="22"/>
      <c r="AZ13" s="23"/>
      <c r="BA13" s="24"/>
    </row>
    <row r="14" spans="1:53" x14ac:dyDescent="0.25">
      <c r="A14" s="25"/>
      <c r="B14" s="25"/>
      <c r="C14" s="25"/>
      <c r="D14" s="25"/>
      <c r="E14" s="26"/>
      <c r="F14" s="25"/>
      <c r="G14" s="25"/>
      <c r="H14" s="25"/>
      <c r="I14" s="25"/>
      <c r="J14" s="25"/>
      <c r="K14" s="25"/>
      <c r="L14" s="27"/>
      <c r="M14" s="32"/>
      <c r="N14" s="25"/>
      <c r="O14" s="25"/>
      <c r="P14" s="25"/>
      <c r="Q14" s="25"/>
      <c r="R14" s="25"/>
      <c r="S14" s="25"/>
      <c r="T14" s="32"/>
      <c r="U14" s="32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32"/>
      <c r="AW14" s="25"/>
      <c r="AX14" s="28"/>
      <c r="AY14" s="29"/>
      <c r="AZ14" s="30"/>
      <c r="BA14" s="31"/>
    </row>
    <row r="15" spans="1:53" x14ac:dyDescent="0.25">
      <c r="A15" s="6"/>
      <c r="B15" s="6"/>
      <c r="C15" s="6"/>
      <c r="D15" s="6"/>
      <c r="E15" s="19"/>
      <c r="F15" s="6"/>
      <c r="G15" s="6"/>
      <c r="H15" s="6"/>
      <c r="I15" s="6"/>
      <c r="J15" s="6"/>
      <c r="K15" s="6"/>
      <c r="L15" s="20"/>
      <c r="M15" s="7"/>
      <c r="N15" s="6"/>
      <c r="O15" s="6"/>
      <c r="P15" s="6"/>
      <c r="Q15" s="6"/>
      <c r="R15" s="6"/>
      <c r="S15" s="6"/>
      <c r="T15" s="7"/>
      <c r="U15" s="7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7"/>
      <c r="AW15" s="6"/>
      <c r="AX15" s="21"/>
      <c r="AY15" s="22"/>
      <c r="AZ15" s="23"/>
      <c r="BA15" s="24"/>
    </row>
    <row r="16" spans="1:53" x14ac:dyDescent="0.25">
      <c r="A16" s="25"/>
      <c r="B16" s="25"/>
      <c r="C16" s="25"/>
      <c r="D16" s="25"/>
      <c r="E16" s="26"/>
      <c r="F16" s="25"/>
      <c r="G16" s="25"/>
      <c r="H16" s="25"/>
      <c r="I16" s="25"/>
      <c r="J16" s="25"/>
      <c r="K16" s="25"/>
      <c r="L16" s="27"/>
      <c r="M16" s="32"/>
      <c r="N16" s="25"/>
      <c r="O16" s="25"/>
      <c r="P16" s="25"/>
      <c r="Q16" s="25"/>
      <c r="R16" s="25"/>
      <c r="S16" s="25"/>
      <c r="T16" s="32"/>
      <c r="U16" s="32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32"/>
      <c r="AW16" s="25"/>
      <c r="AX16" s="28"/>
      <c r="AY16" s="29"/>
      <c r="AZ16" s="30"/>
      <c r="BA16" s="31"/>
    </row>
    <row r="17" spans="1:53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20"/>
      <c r="M17" s="7"/>
      <c r="N17" s="6"/>
      <c r="O17" s="6"/>
      <c r="P17" s="6"/>
      <c r="Q17" s="6"/>
      <c r="R17" s="6"/>
      <c r="S17" s="6"/>
      <c r="T17" s="7"/>
      <c r="U17" s="7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7"/>
      <c r="AW17" s="6"/>
      <c r="AX17" s="21"/>
      <c r="AY17" s="22"/>
      <c r="AZ17" s="23"/>
      <c r="BA17" s="24"/>
    </row>
    <row r="18" spans="1:53" x14ac:dyDescent="0.25">
      <c r="A18" s="25"/>
      <c r="B18" s="25"/>
      <c r="C18" s="25"/>
      <c r="D18" s="25"/>
      <c r="E18" s="26"/>
      <c r="F18" s="25"/>
      <c r="G18" s="25"/>
      <c r="H18" s="25"/>
      <c r="I18" s="25"/>
      <c r="J18" s="25"/>
      <c r="K18" s="25"/>
      <c r="L18" s="27"/>
      <c r="M18" s="32"/>
      <c r="N18" s="25"/>
      <c r="O18" s="25"/>
      <c r="P18" s="25"/>
      <c r="Q18" s="25"/>
      <c r="R18" s="25"/>
      <c r="S18" s="25"/>
      <c r="T18" s="32"/>
      <c r="U18" s="32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32"/>
      <c r="AW18" s="25"/>
      <c r="AX18" s="28"/>
      <c r="AY18" s="29"/>
      <c r="AZ18" s="30"/>
      <c r="BA18" s="31"/>
    </row>
    <row r="19" spans="1:53" x14ac:dyDescent="0.25">
      <c r="A19" s="6"/>
      <c r="B19" s="6"/>
      <c r="C19" s="6"/>
      <c r="D19" s="6"/>
      <c r="E19" s="19"/>
      <c r="F19" s="6"/>
      <c r="G19" s="6"/>
      <c r="H19" s="6"/>
      <c r="I19" s="6"/>
      <c r="J19" s="6"/>
      <c r="K19" s="6"/>
      <c r="L19" s="20"/>
      <c r="M19" s="7"/>
      <c r="N19" s="6"/>
      <c r="O19" s="6"/>
      <c r="P19" s="6"/>
      <c r="Q19" s="6"/>
      <c r="R19" s="6"/>
      <c r="S19" s="6"/>
      <c r="T19" s="7"/>
      <c r="U19" s="7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7"/>
      <c r="AW19" s="7"/>
      <c r="AX19" s="21"/>
      <c r="AY19" s="22"/>
      <c r="AZ19" s="23"/>
      <c r="BA19" s="24"/>
    </row>
    <row r="20" spans="1:53" x14ac:dyDescent="0.25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7"/>
      <c r="M20" s="32"/>
      <c r="N20" s="25"/>
      <c r="O20" s="25"/>
      <c r="P20" s="25"/>
      <c r="Q20" s="25"/>
      <c r="R20" s="25"/>
      <c r="S20" s="25"/>
      <c r="T20" s="32"/>
      <c r="U20" s="32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32"/>
      <c r="AW20" s="32"/>
      <c r="AX20" s="28"/>
      <c r="AY20" s="29"/>
      <c r="AZ20" s="30"/>
      <c r="BA20" s="31"/>
    </row>
    <row r="21" spans="1:53" x14ac:dyDescent="0.25">
      <c r="A21" s="6"/>
      <c r="B21" s="6"/>
      <c r="C21" s="6"/>
      <c r="D21" s="6"/>
      <c r="E21" s="19"/>
      <c r="F21" s="6"/>
      <c r="G21" s="6"/>
      <c r="H21" s="6"/>
      <c r="I21" s="6"/>
      <c r="J21" s="6"/>
      <c r="K21" s="6"/>
      <c r="L21" s="20"/>
      <c r="M21" s="7"/>
      <c r="N21" s="6"/>
      <c r="O21" s="6"/>
      <c r="P21" s="6"/>
      <c r="Q21" s="6"/>
      <c r="R21" s="6"/>
      <c r="S21" s="6"/>
      <c r="T21" s="7"/>
      <c r="U21" s="7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7"/>
      <c r="AW21" s="7"/>
      <c r="AX21" s="21"/>
      <c r="AY21" s="22"/>
      <c r="AZ21" s="23"/>
      <c r="BA21" s="24"/>
    </row>
    <row r="22" spans="1:53" x14ac:dyDescent="0.25">
      <c r="A22" s="25"/>
      <c r="B22" s="25"/>
      <c r="C22" s="25"/>
      <c r="D22" s="25"/>
      <c r="E22" s="26"/>
      <c r="F22" s="25"/>
      <c r="G22" s="25"/>
      <c r="H22" s="25"/>
      <c r="I22" s="25"/>
      <c r="J22" s="25"/>
      <c r="K22" s="25"/>
      <c r="L22" s="27"/>
      <c r="M22" s="32"/>
      <c r="N22" s="25"/>
      <c r="O22" s="25"/>
      <c r="P22" s="25"/>
      <c r="Q22" s="25"/>
      <c r="R22" s="25"/>
      <c r="S22" s="25"/>
      <c r="T22" s="32"/>
      <c r="U22" s="32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32"/>
      <c r="AW22" s="32"/>
      <c r="AX22" s="28"/>
      <c r="AY22" s="29"/>
      <c r="AZ22" s="30"/>
      <c r="BA22" s="31"/>
    </row>
    <row r="23" spans="1:53" ht="18" customHeight="1" x14ac:dyDescent="0.25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35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36"/>
      <c r="AW23" s="36"/>
      <c r="AX23" s="21"/>
      <c r="AY23" s="2"/>
      <c r="AZ23" s="37"/>
      <c r="BA23" s="24"/>
    </row>
    <row r="24" spans="1:53" ht="15.75" customHeight="1" x14ac:dyDescent="0.2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38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39"/>
      <c r="AW24" s="39"/>
      <c r="AX24" s="28"/>
      <c r="AY24" s="40"/>
      <c r="AZ24" s="41"/>
      <c r="BA24" s="31"/>
    </row>
    <row r="25" spans="1:53" ht="12.7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20"/>
      <c r="M25" s="7"/>
      <c r="N25" s="6"/>
      <c r="O25" s="6"/>
      <c r="P25" s="6"/>
      <c r="Q25" s="6"/>
      <c r="R25" s="6"/>
      <c r="S25" s="6"/>
      <c r="T25" s="19"/>
      <c r="U25" s="19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42"/>
      <c r="AW25" s="42"/>
      <c r="AX25" s="21"/>
      <c r="AY25" s="22"/>
      <c r="AZ25" s="37"/>
      <c r="BA25" s="24"/>
    </row>
    <row r="26" spans="1:53" ht="21" customHeight="1" x14ac:dyDescent="0.2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38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39"/>
      <c r="AW26" s="39"/>
      <c r="AX26" s="26"/>
      <c r="AY26" s="40"/>
      <c r="AZ26" s="43"/>
      <c r="BA26" s="31"/>
    </row>
    <row r="27" spans="1:53" x14ac:dyDescent="0.25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35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36"/>
      <c r="AW27" s="36"/>
      <c r="AX27" s="19"/>
      <c r="AY27" s="37"/>
      <c r="AZ27" s="24"/>
      <c r="BA27" s="24"/>
    </row>
    <row r="28" spans="1:53" x14ac:dyDescent="0.2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38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39"/>
      <c r="AW28" s="39"/>
      <c r="AX28" s="26"/>
      <c r="AY28" s="41"/>
      <c r="AZ28" s="31"/>
      <c r="BA28" s="31"/>
    </row>
    <row r="29" spans="1:53" x14ac:dyDescent="0.25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35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36"/>
      <c r="AW29" s="36"/>
      <c r="AX29" s="19"/>
      <c r="AY29" s="37"/>
      <c r="AZ29" s="24"/>
      <c r="BA29" s="24"/>
    </row>
    <row r="30" spans="1:53" x14ac:dyDescent="0.2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38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39"/>
      <c r="AW30" s="39"/>
      <c r="AX30" s="26"/>
      <c r="AY30" s="41"/>
      <c r="AZ30" s="31"/>
      <c r="BA30" s="31"/>
    </row>
    <row r="31" spans="1:53" x14ac:dyDescent="0.25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35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36"/>
      <c r="AW31" s="36"/>
      <c r="AX31" s="19"/>
      <c r="AY31" s="37"/>
      <c r="AZ31" s="24"/>
      <c r="BA31" s="24"/>
    </row>
    <row r="32" spans="1:53" x14ac:dyDescent="0.2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38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39"/>
      <c r="AW32" s="39"/>
      <c r="AX32" s="26"/>
      <c r="AY32" s="41"/>
      <c r="AZ32" s="31"/>
      <c r="BA32" s="31"/>
    </row>
    <row r="33" spans="1:53" x14ac:dyDescent="0.25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35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36"/>
      <c r="AW33" s="36"/>
      <c r="AX33" s="19"/>
      <c r="AY33" s="37"/>
      <c r="AZ33" s="24"/>
      <c r="BA33" s="24"/>
    </row>
    <row r="34" spans="1:53" x14ac:dyDescent="0.2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38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39"/>
      <c r="AW34" s="39"/>
      <c r="AX34" s="26"/>
      <c r="AY34" s="41"/>
      <c r="AZ34" s="31"/>
      <c r="BA34" s="31"/>
    </row>
    <row r="35" spans="1:53" x14ac:dyDescent="0.2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35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36"/>
      <c r="AW35" s="36"/>
      <c r="AX35" s="19"/>
      <c r="AY35" s="37"/>
      <c r="AZ35" s="24"/>
      <c r="BA35" s="24"/>
    </row>
    <row r="36" spans="1:53" x14ac:dyDescent="0.2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8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39"/>
      <c r="AW36" s="39"/>
      <c r="AX36" s="26"/>
      <c r="AY36" s="41"/>
      <c r="AZ36" s="31"/>
      <c r="BA36" s="31"/>
    </row>
    <row r="37" spans="1:53" x14ac:dyDescent="0.25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35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36"/>
      <c r="AW37" s="36"/>
      <c r="AX37" s="19"/>
      <c r="AY37" s="37"/>
      <c r="AZ37" s="24"/>
      <c r="BA37" s="24"/>
    </row>
    <row r="38" spans="1:53" x14ac:dyDescent="0.25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38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39"/>
      <c r="AW38" s="39"/>
      <c r="AX38" s="26"/>
      <c r="AY38" s="41"/>
      <c r="AZ38" s="31"/>
      <c r="BA38" s="31"/>
    </row>
    <row r="39" spans="1:53" x14ac:dyDescent="0.25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35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36"/>
      <c r="AW39" s="36"/>
      <c r="AX39" s="19"/>
      <c r="AY39" s="37"/>
      <c r="AZ39" s="24"/>
      <c r="BA39" s="24"/>
    </row>
    <row r="40" spans="1:53" x14ac:dyDescent="0.25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38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39"/>
      <c r="AW40" s="39"/>
      <c r="AX40" s="26"/>
      <c r="AY40" s="41"/>
      <c r="AZ40" s="31"/>
      <c r="BA40" s="31"/>
    </row>
    <row r="41" spans="1:53" x14ac:dyDescent="0.25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35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36"/>
      <c r="AW41" s="36"/>
      <c r="AX41" s="19"/>
      <c r="AY41" s="37"/>
      <c r="AZ41" s="24"/>
      <c r="BA41" s="24"/>
    </row>
    <row r="42" spans="1:53" x14ac:dyDescent="0.25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38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39"/>
      <c r="AW42" s="39"/>
      <c r="AX42" s="26"/>
      <c r="AY42" s="41"/>
      <c r="AZ42" s="31"/>
      <c r="BA42" s="31"/>
    </row>
    <row r="43" spans="1:53" x14ac:dyDescent="0.25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35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36"/>
      <c r="AW43" s="36"/>
      <c r="AX43" s="19"/>
      <c r="AY43" s="37"/>
      <c r="AZ43" s="24"/>
      <c r="BA43" s="24"/>
    </row>
    <row r="44" spans="1:53" x14ac:dyDescent="0.2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38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39"/>
      <c r="AW44" s="39"/>
      <c r="AX44" s="26"/>
      <c r="AY44" s="41"/>
      <c r="AZ44" s="31"/>
      <c r="BA44" s="31"/>
    </row>
    <row r="45" spans="1:53" x14ac:dyDescent="0.2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35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36"/>
      <c r="AW45" s="36"/>
      <c r="AX45" s="19"/>
      <c r="AY45" s="37"/>
      <c r="AZ45" s="24"/>
      <c r="BA45" s="24"/>
    </row>
    <row r="46" spans="1:53" x14ac:dyDescent="0.2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38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39"/>
      <c r="AW46" s="39"/>
      <c r="AX46" s="26"/>
      <c r="AY46" s="41"/>
      <c r="AZ46" s="31"/>
      <c r="BA46" s="31"/>
    </row>
    <row r="47" spans="1:53" x14ac:dyDescent="0.25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35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36"/>
      <c r="AW47" s="36"/>
      <c r="AX47" s="19"/>
      <c r="AY47" s="37"/>
      <c r="AZ47" s="24"/>
      <c r="BA47" s="24"/>
    </row>
    <row r="48" spans="1:53" x14ac:dyDescent="0.2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38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39"/>
      <c r="AW48" s="39"/>
      <c r="AX48" s="26"/>
      <c r="AY48" s="41"/>
      <c r="AZ48" s="31"/>
      <c r="BA48" s="31"/>
    </row>
    <row r="49" spans="1:53" x14ac:dyDescent="0.25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35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36"/>
      <c r="AW49" s="36"/>
      <c r="AX49" s="19"/>
      <c r="AY49" s="37"/>
      <c r="AZ49" s="24"/>
      <c r="BA49" s="24"/>
    </row>
    <row r="50" spans="1:53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38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39"/>
      <c r="AW50" s="39"/>
      <c r="AX50" s="26"/>
      <c r="AY50" s="41"/>
      <c r="AZ50" s="31"/>
      <c r="BA50" s="31"/>
    </row>
    <row r="51" spans="1:53" x14ac:dyDescent="0.25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35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36"/>
      <c r="AW51" s="36"/>
      <c r="AX51" s="19"/>
      <c r="AY51" s="37"/>
      <c r="AZ51" s="24"/>
      <c r="BA51" s="24"/>
    </row>
    <row r="52" spans="1:53" x14ac:dyDescent="0.2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38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39"/>
      <c r="AW52" s="39"/>
      <c r="AX52" s="26"/>
      <c r="AY52" s="41"/>
      <c r="AZ52" s="31"/>
      <c r="BA52" s="31"/>
    </row>
    <row r="53" spans="1:53" x14ac:dyDescent="0.25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35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36"/>
      <c r="AW53" s="36"/>
      <c r="AX53" s="19"/>
      <c r="AY53" s="37"/>
      <c r="AZ53" s="24"/>
      <c r="BA53" s="24"/>
    </row>
    <row r="54" spans="1:53" x14ac:dyDescent="0.2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38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39"/>
      <c r="AW54" s="39"/>
      <c r="AX54" s="26"/>
      <c r="AY54" s="41"/>
      <c r="AZ54" s="31"/>
      <c r="BA54" s="31"/>
    </row>
    <row r="55" spans="1:53" x14ac:dyDescent="0.2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35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36"/>
      <c r="AW55" s="36"/>
      <c r="AX55" s="19"/>
      <c r="AY55" s="37"/>
      <c r="AZ55" s="24"/>
      <c r="BA55" s="24"/>
    </row>
    <row r="56" spans="1:53" x14ac:dyDescent="0.2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38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39"/>
      <c r="AW56" s="39"/>
      <c r="AX56" s="26"/>
      <c r="AY56" s="41"/>
      <c r="AZ56" s="31"/>
      <c r="BA56" s="31"/>
    </row>
    <row r="57" spans="1:53" x14ac:dyDescent="0.25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35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36"/>
      <c r="AW57" s="36"/>
      <c r="AX57" s="19"/>
      <c r="AY57" s="37"/>
      <c r="AZ57" s="24"/>
      <c r="BA57" s="24"/>
    </row>
    <row r="58" spans="1:53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38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39"/>
      <c r="AW58" s="39"/>
      <c r="AX58" s="26"/>
      <c r="AY58" s="41"/>
      <c r="AZ58" s="31"/>
      <c r="BA58" s="31"/>
    </row>
    <row r="59" spans="1:53" x14ac:dyDescent="0.2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35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36"/>
      <c r="AW59" s="36"/>
      <c r="AX59" s="19"/>
      <c r="AY59" s="37"/>
      <c r="AZ59" s="24"/>
      <c r="BA59" s="24"/>
    </row>
    <row r="60" spans="1:53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38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39"/>
      <c r="AW60" s="39"/>
      <c r="AX60" s="26"/>
      <c r="AY60" s="41"/>
      <c r="AZ60" s="31"/>
      <c r="BA60" s="31"/>
    </row>
    <row r="61" spans="1:53" x14ac:dyDescent="0.25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35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36"/>
      <c r="AW61" s="36"/>
      <c r="AX61" s="19"/>
      <c r="AY61" s="37"/>
      <c r="AZ61" s="24"/>
      <c r="BA61" s="24"/>
    </row>
    <row r="62" spans="1:53" x14ac:dyDescent="0.2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38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39"/>
      <c r="AW62" s="39"/>
      <c r="AX62" s="26"/>
      <c r="AY62" s="41"/>
      <c r="AZ62" s="31"/>
      <c r="BA62" s="31"/>
    </row>
    <row r="63" spans="1:53" x14ac:dyDescent="0.25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35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36"/>
      <c r="AW63" s="36"/>
      <c r="AX63" s="19"/>
      <c r="AY63" s="37"/>
      <c r="AZ63" s="24"/>
      <c r="BA63" s="24"/>
    </row>
    <row r="64" spans="1:53" x14ac:dyDescent="0.2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38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39"/>
      <c r="AW64" s="39"/>
      <c r="AX64" s="26"/>
      <c r="AY64" s="41"/>
      <c r="AZ64" s="31"/>
      <c r="BA64" s="31"/>
    </row>
    <row r="65" spans="1:53" x14ac:dyDescent="0.2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35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36"/>
      <c r="AW65" s="36"/>
      <c r="AX65" s="19"/>
      <c r="AY65" s="37"/>
      <c r="AZ65" s="24"/>
      <c r="BA65" s="24"/>
    </row>
    <row r="66" spans="1:53" x14ac:dyDescent="0.2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38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39"/>
      <c r="AW66" s="39"/>
      <c r="AX66" s="26"/>
      <c r="AY66" s="41"/>
      <c r="AZ66" s="31"/>
      <c r="BA66" s="31"/>
    </row>
    <row r="67" spans="1:53" x14ac:dyDescent="0.25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35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36"/>
      <c r="AW67" s="36"/>
      <c r="AX67" s="19"/>
      <c r="AY67" s="37"/>
      <c r="AZ67" s="24"/>
      <c r="BA67" s="24"/>
    </row>
    <row r="68" spans="1:53" x14ac:dyDescent="0.25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38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39"/>
      <c r="AW68" s="39"/>
      <c r="AX68" s="26"/>
      <c r="AY68" s="41"/>
      <c r="AZ68" s="31"/>
      <c r="BA68" s="31"/>
    </row>
    <row r="69" spans="1:53" x14ac:dyDescent="0.25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35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36"/>
      <c r="AW69" s="36"/>
      <c r="AX69" s="19"/>
      <c r="AY69" s="37"/>
      <c r="AZ69" s="24"/>
      <c r="BA69" s="24"/>
    </row>
    <row r="70" spans="1:53" x14ac:dyDescent="0.2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38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39"/>
      <c r="AW70" s="39"/>
      <c r="AX70" s="26"/>
      <c r="AY70" s="41"/>
      <c r="AZ70" s="31"/>
      <c r="BA70" s="31"/>
    </row>
    <row r="71" spans="1:53" x14ac:dyDescent="0.25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35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36"/>
      <c r="AW71" s="36"/>
      <c r="AX71" s="19"/>
      <c r="AY71" s="37"/>
      <c r="AZ71" s="24"/>
      <c r="BA71" s="24"/>
    </row>
    <row r="72" spans="1:53" x14ac:dyDescent="0.2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38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39"/>
      <c r="AW72" s="39"/>
      <c r="AX72" s="26"/>
      <c r="AY72" s="41"/>
      <c r="AZ72" s="31"/>
      <c r="BA72" s="31"/>
    </row>
    <row r="73" spans="1:53" x14ac:dyDescent="0.25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35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36"/>
      <c r="AW73" s="36"/>
      <c r="AX73" s="19"/>
      <c r="AY73" s="37"/>
      <c r="AZ73" s="24"/>
      <c r="BA73" s="24"/>
    </row>
    <row r="74" spans="1:53" x14ac:dyDescent="0.2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38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39"/>
      <c r="AW74" s="39"/>
      <c r="AX74" s="26"/>
      <c r="AY74" s="41"/>
      <c r="AZ74" s="31"/>
      <c r="BA74" s="31"/>
    </row>
    <row r="75" spans="1:53" x14ac:dyDescent="0.2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35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36"/>
      <c r="AW75" s="36"/>
      <c r="AX75" s="19"/>
      <c r="AY75" s="37"/>
      <c r="AZ75" s="24"/>
      <c r="BA75" s="24"/>
    </row>
    <row r="76" spans="1:53" x14ac:dyDescent="0.25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38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39"/>
      <c r="AW76" s="39"/>
      <c r="AX76" s="26"/>
      <c r="AY76" s="41"/>
      <c r="AZ76" s="31"/>
      <c r="BA76" s="31"/>
    </row>
    <row r="77" spans="1:53" x14ac:dyDescent="0.2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35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36"/>
      <c r="AW77" s="36"/>
      <c r="AX77" s="19"/>
      <c r="AY77" s="37"/>
      <c r="AZ77" s="24"/>
      <c r="BA77" s="24"/>
    </row>
    <row r="78" spans="1:53" x14ac:dyDescent="0.25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38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39"/>
      <c r="AW78" s="39"/>
      <c r="AX78" s="26"/>
      <c r="AY78" s="41"/>
      <c r="AZ78" s="31"/>
      <c r="BA78" s="31"/>
    </row>
    <row r="79" spans="1:53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35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36"/>
      <c r="AW79" s="36"/>
      <c r="AX79" s="19"/>
      <c r="AY79" s="37"/>
      <c r="AZ79" s="24"/>
      <c r="BA79" s="24"/>
    </row>
    <row r="80" spans="1:53" x14ac:dyDescent="0.25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38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39"/>
      <c r="AW80" s="39"/>
      <c r="AX80" s="26"/>
      <c r="AY80" s="41"/>
      <c r="AZ80" s="31"/>
      <c r="BA80" s="31"/>
    </row>
    <row r="81" spans="1:53" x14ac:dyDescent="0.2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35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36"/>
      <c r="AW81" s="36"/>
      <c r="AX81" s="19"/>
      <c r="AY81" s="37"/>
      <c r="AZ81" s="24"/>
      <c r="BA81" s="24"/>
    </row>
    <row r="82" spans="1:53" x14ac:dyDescent="0.25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38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39"/>
      <c r="AW82" s="39"/>
      <c r="AX82" s="26"/>
      <c r="AY82" s="41"/>
      <c r="AZ82" s="31"/>
      <c r="BA82" s="31"/>
    </row>
    <row r="83" spans="1:53" x14ac:dyDescent="0.2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35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36"/>
      <c r="AW83" s="36"/>
      <c r="AX83" s="19"/>
      <c r="AY83" s="37"/>
      <c r="AZ83" s="24"/>
      <c r="BA83" s="24"/>
    </row>
    <row r="84" spans="1:53" x14ac:dyDescent="0.25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38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39"/>
      <c r="AW84" s="39"/>
      <c r="AX84" s="26"/>
      <c r="AY84" s="41"/>
      <c r="AZ84" s="31"/>
      <c r="BA84" s="31"/>
    </row>
    <row r="85" spans="1:53" x14ac:dyDescent="0.2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35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36"/>
      <c r="AW85" s="36"/>
      <c r="AX85" s="19"/>
      <c r="AY85" s="37"/>
      <c r="AZ85" s="24"/>
      <c r="BA85" s="24"/>
    </row>
    <row r="86" spans="1:53" x14ac:dyDescent="0.25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38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39"/>
      <c r="AW86" s="39"/>
      <c r="AX86" s="26"/>
      <c r="AY86" s="41"/>
      <c r="AZ86" s="31"/>
      <c r="BA86" s="31"/>
    </row>
    <row r="87" spans="1:53" x14ac:dyDescent="0.2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35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36"/>
      <c r="AW87" s="36"/>
      <c r="AX87" s="19"/>
      <c r="AY87" s="37"/>
      <c r="AZ87" s="24"/>
      <c r="BA87" s="24"/>
    </row>
    <row r="88" spans="1:53" x14ac:dyDescent="0.25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38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39"/>
      <c r="AW88" s="39"/>
      <c r="AX88" s="26"/>
      <c r="AY88" s="41"/>
      <c r="AZ88" s="31"/>
      <c r="BA88" s="31"/>
    </row>
    <row r="89" spans="1:53" x14ac:dyDescent="0.25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35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36"/>
      <c r="AW89" s="36"/>
      <c r="AX89" s="19"/>
      <c r="AY89" s="37"/>
      <c r="AZ89" s="24"/>
      <c r="BA89" s="24"/>
    </row>
    <row r="90" spans="1:53" x14ac:dyDescent="0.25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38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39"/>
      <c r="AW90" s="39"/>
      <c r="AX90" s="26"/>
      <c r="AY90" s="41"/>
      <c r="AZ90" s="31"/>
      <c r="BA90" s="31"/>
    </row>
    <row r="91" spans="1:53" x14ac:dyDescent="0.25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35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36"/>
      <c r="AW91" s="36"/>
      <c r="AX91" s="19"/>
      <c r="AY91" s="37"/>
      <c r="AZ91" s="24"/>
      <c r="BA91" s="24"/>
    </row>
    <row r="92" spans="1:53" x14ac:dyDescent="0.25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38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39"/>
      <c r="AW92" s="39"/>
      <c r="AX92" s="26"/>
      <c r="AY92" s="41"/>
      <c r="AZ92" s="31"/>
      <c r="BA92" s="31"/>
    </row>
    <row r="93" spans="1:53" x14ac:dyDescent="0.25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35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36"/>
      <c r="AW93" s="36"/>
      <c r="AX93" s="19"/>
      <c r="AY93" s="37"/>
      <c r="AZ93" s="24"/>
      <c r="BA93" s="24"/>
    </row>
    <row r="94" spans="1:53" x14ac:dyDescent="0.25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38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39"/>
      <c r="AW94" s="39"/>
      <c r="AX94" s="26"/>
      <c r="AY94" s="41"/>
      <c r="AZ94" s="31"/>
      <c r="BA94" s="31"/>
    </row>
    <row r="95" spans="1:53" x14ac:dyDescent="0.2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35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36"/>
      <c r="AW95" s="36"/>
      <c r="AX95" s="19"/>
      <c r="AY95" s="37"/>
      <c r="AZ95" s="24"/>
      <c r="BA95" s="24"/>
    </row>
    <row r="96" spans="1:53" x14ac:dyDescent="0.25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38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39"/>
      <c r="AW96" s="39"/>
      <c r="AX96" s="26"/>
      <c r="AY96" s="41"/>
      <c r="AZ96" s="31"/>
      <c r="BA96" s="31"/>
    </row>
    <row r="97" spans="1:53" x14ac:dyDescent="0.25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35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36"/>
      <c r="AW97" s="36"/>
      <c r="AX97" s="19"/>
      <c r="AY97" s="37"/>
      <c r="AZ97" s="24"/>
      <c r="BA97" s="24"/>
    </row>
    <row r="98" spans="1:53" x14ac:dyDescent="0.25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38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39"/>
      <c r="AW98" s="39"/>
      <c r="AX98" s="26"/>
      <c r="AY98" s="41"/>
      <c r="AZ98" s="31"/>
      <c r="BA98" s="31"/>
    </row>
    <row r="99" spans="1:53" x14ac:dyDescent="0.25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35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36"/>
      <c r="AW99" s="36"/>
      <c r="AX99" s="19"/>
      <c r="AY99" s="37"/>
      <c r="AZ99" s="24"/>
      <c r="BA99" s="24"/>
    </row>
    <row r="100" spans="1:53" x14ac:dyDescent="0.25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38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39"/>
      <c r="AW100" s="39"/>
      <c r="AX100" s="26"/>
      <c r="AY100" s="41"/>
      <c r="AZ100" s="31"/>
      <c r="BA100" s="31"/>
    </row>
    <row r="101" spans="1:53" x14ac:dyDescent="0.25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35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36"/>
      <c r="AW101" s="36"/>
      <c r="AX101" s="19"/>
      <c r="AY101" s="37"/>
      <c r="AZ101" s="24"/>
      <c r="BA101" s="24"/>
    </row>
    <row r="102" spans="1:53" x14ac:dyDescent="0.25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38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39"/>
      <c r="AW102" s="39"/>
      <c r="AX102" s="26"/>
      <c r="AY102" s="41"/>
      <c r="AZ102" s="31"/>
      <c r="BA102" s="31"/>
    </row>
    <row r="103" spans="1:53" x14ac:dyDescent="0.25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35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36"/>
      <c r="AW103" s="36"/>
      <c r="AX103" s="19"/>
      <c r="AY103" s="37"/>
      <c r="AZ103" s="24"/>
      <c r="BA103" s="24"/>
    </row>
    <row r="104" spans="1:53" x14ac:dyDescent="0.25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38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39"/>
      <c r="AW104" s="39"/>
      <c r="AX104" s="26"/>
      <c r="AY104" s="41"/>
      <c r="AZ104" s="31"/>
      <c r="BA104" s="31"/>
    </row>
    <row r="105" spans="1:53" x14ac:dyDescent="0.2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35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36"/>
      <c r="AW105" s="36"/>
      <c r="AX105" s="19"/>
      <c r="AY105" s="37"/>
      <c r="AZ105" s="24"/>
      <c r="BA105" s="24"/>
    </row>
    <row r="106" spans="1:53" x14ac:dyDescent="0.25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38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39"/>
      <c r="AW106" s="39"/>
      <c r="AX106" s="26"/>
      <c r="AY106" s="41"/>
      <c r="AZ106" s="31"/>
      <c r="BA106" s="31"/>
    </row>
    <row r="107" spans="1:53" x14ac:dyDescent="0.25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35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36"/>
      <c r="AW107" s="36"/>
      <c r="AX107" s="19"/>
      <c r="AY107" s="37"/>
      <c r="AZ107" s="24"/>
      <c r="BA107" s="24"/>
    </row>
    <row r="108" spans="1:53" x14ac:dyDescent="0.2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38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39"/>
      <c r="AW108" s="39"/>
      <c r="AX108" s="26"/>
      <c r="AY108" s="41"/>
      <c r="AZ108" s="31"/>
      <c r="BA108" s="31"/>
    </row>
    <row r="109" spans="1:53" x14ac:dyDescent="0.25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35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36"/>
      <c r="AW109" s="36"/>
      <c r="AX109" s="19"/>
      <c r="AY109" s="37"/>
      <c r="AZ109" s="24"/>
      <c r="BA109" s="24"/>
    </row>
    <row r="110" spans="1:53" x14ac:dyDescent="0.2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38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39"/>
      <c r="AW110" s="39"/>
      <c r="AX110" s="26"/>
      <c r="AY110" s="41"/>
      <c r="AZ110" s="31"/>
      <c r="BA110" s="31"/>
    </row>
    <row r="111" spans="1:53" x14ac:dyDescent="0.25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35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36"/>
      <c r="AW111" s="36"/>
      <c r="AX111" s="19"/>
      <c r="AY111" s="37"/>
      <c r="AZ111" s="24"/>
      <c r="BA111" s="24"/>
    </row>
    <row r="112" spans="1:53" x14ac:dyDescent="0.2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38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39"/>
      <c r="AW112" s="39"/>
      <c r="AX112" s="26"/>
      <c r="AY112" s="41"/>
      <c r="AZ112" s="31"/>
      <c r="BA112" s="31"/>
    </row>
    <row r="113" spans="1:53" x14ac:dyDescent="0.25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35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36"/>
      <c r="AW113" s="36"/>
      <c r="AX113" s="19"/>
      <c r="AY113" s="37"/>
      <c r="AZ113" s="24"/>
      <c r="BA113" s="24"/>
    </row>
    <row r="114" spans="1:53" x14ac:dyDescent="0.2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38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39"/>
      <c r="AW114" s="39"/>
      <c r="AX114" s="26"/>
      <c r="AY114" s="41"/>
      <c r="AZ114" s="31"/>
      <c r="BA114" s="31"/>
    </row>
    <row r="115" spans="1:53" x14ac:dyDescent="0.2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3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36"/>
      <c r="AW115" s="36"/>
      <c r="AX115" s="19"/>
      <c r="AY115" s="37"/>
      <c r="AZ115" s="24"/>
      <c r="BA115" s="24"/>
    </row>
    <row r="116" spans="1:53" x14ac:dyDescent="0.2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38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39"/>
      <c r="AW116" s="39"/>
      <c r="AX116" s="26"/>
      <c r="AY116" s="41"/>
      <c r="AZ116" s="31"/>
      <c r="BA116" s="31"/>
    </row>
    <row r="117" spans="1:53" x14ac:dyDescent="0.25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35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36"/>
      <c r="AW117" s="36"/>
      <c r="AX117" s="19"/>
      <c r="AY117" s="37"/>
      <c r="AZ117" s="24"/>
      <c r="BA117" s="24"/>
    </row>
    <row r="118" spans="1:53" x14ac:dyDescent="0.2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38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39"/>
      <c r="AW118" s="39"/>
      <c r="AX118" s="26"/>
      <c r="AY118" s="41"/>
      <c r="AZ118" s="31"/>
      <c r="BA118" s="31"/>
    </row>
    <row r="119" spans="1:53" x14ac:dyDescent="0.25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35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36"/>
      <c r="AW119" s="36"/>
      <c r="AX119" s="19"/>
      <c r="AY119" s="37"/>
      <c r="AZ119" s="24"/>
      <c r="BA119" s="24"/>
    </row>
    <row r="120" spans="1:53" x14ac:dyDescent="0.2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38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39"/>
      <c r="AW120" s="39"/>
      <c r="AX120" s="26"/>
      <c r="AY120" s="41"/>
      <c r="AZ120" s="31"/>
      <c r="BA120" s="31"/>
    </row>
    <row r="121" spans="1:53" x14ac:dyDescent="0.25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35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36"/>
      <c r="AW121" s="36"/>
      <c r="AX121" s="19"/>
      <c r="AY121" s="37"/>
      <c r="AZ121" s="24"/>
      <c r="BA121" s="24"/>
    </row>
    <row r="122" spans="1:53" x14ac:dyDescent="0.2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38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39"/>
      <c r="AW122" s="39"/>
      <c r="AX122" s="26"/>
      <c r="AY122" s="41"/>
      <c r="AZ122" s="31"/>
      <c r="BA122" s="31"/>
    </row>
    <row r="123" spans="1:53" x14ac:dyDescent="0.25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35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36"/>
      <c r="AW123" s="36"/>
      <c r="AX123" s="19"/>
      <c r="AY123" s="37"/>
      <c r="AZ123" s="24"/>
      <c r="BA123" s="24"/>
    </row>
    <row r="124" spans="1:53" x14ac:dyDescent="0.2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38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39"/>
      <c r="AW124" s="39"/>
      <c r="AX124" s="26"/>
      <c r="AY124" s="41"/>
      <c r="AZ124" s="31"/>
      <c r="BA124" s="31"/>
    </row>
    <row r="125" spans="1:53" x14ac:dyDescent="0.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35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36"/>
      <c r="AW125" s="36"/>
      <c r="AX125" s="19"/>
      <c r="AY125" s="37"/>
      <c r="AZ125" s="24"/>
      <c r="BA125" s="24"/>
    </row>
    <row r="126" spans="1:53" x14ac:dyDescent="0.2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38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39"/>
      <c r="AW126" s="39"/>
      <c r="AX126" s="26"/>
      <c r="AY126" s="41"/>
      <c r="AZ126" s="31"/>
      <c r="BA126" s="31"/>
    </row>
    <row r="127" spans="1:53" x14ac:dyDescent="0.25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35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36"/>
      <c r="AW127" s="36"/>
      <c r="AX127" s="19"/>
      <c r="AY127" s="37"/>
      <c r="AZ127" s="24"/>
      <c r="BA127" s="24"/>
    </row>
    <row r="128" spans="1:53" x14ac:dyDescent="0.2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38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39"/>
      <c r="AW128" s="39"/>
      <c r="AX128" s="26"/>
      <c r="AY128" s="41"/>
      <c r="AZ128" s="31"/>
      <c r="BA128" s="31"/>
    </row>
    <row r="129" spans="1:53" x14ac:dyDescent="0.25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35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36"/>
      <c r="AW129" s="36"/>
      <c r="AX129" s="19"/>
      <c r="AY129" s="37"/>
      <c r="AZ129" s="24"/>
      <c r="BA129" s="24"/>
    </row>
    <row r="130" spans="1:53" x14ac:dyDescent="0.2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38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39"/>
      <c r="AW130" s="39"/>
      <c r="AX130" s="26"/>
      <c r="AY130" s="41"/>
      <c r="AZ130" s="31"/>
      <c r="BA130" s="31"/>
    </row>
    <row r="131" spans="1:53" x14ac:dyDescent="0.25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35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36"/>
      <c r="AW131" s="36"/>
      <c r="AX131" s="19"/>
      <c r="AY131" s="37"/>
      <c r="AZ131" s="24"/>
      <c r="BA131" s="24"/>
    </row>
    <row r="132" spans="1:53" x14ac:dyDescent="0.2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38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39"/>
      <c r="AW132" s="39"/>
      <c r="AX132" s="26"/>
      <c r="AY132" s="41"/>
      <c r="AZ132" s="31"/>
      <c r="BA132" s="31"/>
    </row>
    <row r="133" spans="1:53" x14ac:dyDescent="0.25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35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36"/>
      <c r="AW133" s="36"/>
      <c r="AX133" s="19"/>
      <c r="AY133" s="37"/>
      <c r="AZ133" s="24"/>
      <c r="BA133" s="24"/>
    </row>
    <row r="134" spans="1:53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38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39"/>
      <c r="AW134" s="39"/>
      <c r="AX134" s="26"/>
      <c r="AY134" s="41"/>
      <c r="AZ134" s="31"/>
      <c r="BA134" s="31"/>
    </row>
    <row r="135" spans="1:53" x14ac:dyDescent="0.2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35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36"/>
      <c r="AW135" s="36"/>
      <c r="AX135" s="19"/>
      <c r="AY135" s="37"/>
      <c r="AZ135" s="24"/>
      <c r="BA135" s="24"/>
    </row>
    <row r="136" spans="1:53" x14ac:dyDescent="0.2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38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39"/>
      <c r="AW136" s="39"/>
      <c r="AX136" s="26"/>
      <c r="AY136" s="41"/>
      <c r="AZ136" s="31"/>
      <c r="BA136" s="31"/>
    </row>
    <row r="137" spans="1:53" x14ac:dyDescent="0.25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35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36"/>
      <c r="AW137" s="36"/>
      <c r="AX137" s="19"/>
      <c r="AY137" s="37"/>
      <c r="AZ137" s="24"/>
      <c r="BA137" s="24"/>
    </row>
    <row r="138" spans="1:53" x14ac:dyDescent="0.2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38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39"/>
      <c r="AW138" s="39"/>
      <c r="AX138" s="26"/>
      <c r="AY138" s="41"/>
      <c r="AZ138" s="31"/>
      <c r="BA138" s="31"/>
    </row>
    <row r="139" spans="1:53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35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36"/>
      <c r="AW139" s="36"/>
      <c r="AX139" s="19"/>
      <c r="AY139" s="37"/>
      <c r="AZ139" s="24"/>
      <c r="BA139" s="24"/>
    </row>
    <row r="140" spans="1:53" x14ac:dyDescent="0.2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38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39"/>
      <c r="AW140" s="39"/>
      <c r="AX140" s="26"/>
      <c r="AY140" s="41"/>
      <c r="AZ140" s="31"/>
      <c r="BA140" s="31"/>
    </row>
    <row r="141" spans="1:53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35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36"/>
      <c r="AW141" s="36"/>
      <c r="AX141" s="19"/>
      <c r="AY141" s="37"/>
      <c r="AZ141" s="24"/>
      <c r="BA141" s="24"/>
    </row>
    <row r="142" spans="1:53" x14ac:dyDescent="0.2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38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39"/>
      <c r="AW142" s="39"/>
      <c r="AX142" s="26"/>
      <c r="AY142" s="41"/>
      <c r="AZ142" s="31"/>
      <c r="BA142" s="31"/>
    </row>
    <row r="143" spans="1:53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35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36"/>
      <c r="AW143" s="36"/>
      <c r="AX143" s="19"/>
      <c r="AY143" s="37"/>
      <c r="AZ143" s="24"/>
      <c r="BA143" s="24"/>
    </row>
    <row r="144" spans="1:53" x14ac:dyDescent="0.2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38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39"/>
      <c r="AW144" s="39"/>
      <c r="AX144" s="26"/>
      <c r="AY144" s="41"/>
      <c r="AZ144" s="31"/>
      <c r="BA144" s="31"/>
    </row>
    <row r="145" spans="1:53" x14ac:dyDescent="0.2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35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36"/>
      <c r="AW145" s="36"/>
      <c r="AX145" s="19"/>
      <c r="AY145" s="37"/>
      <c r="AZ145" s="24"/>
      <c r="BA145" s="24"/>
    </row>
    <row r="146" spans="1:53" x14ac:dyDescent="0.2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38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39"/>
      <c r="AW146" s="39"/>
      <c r="AX146" s="26"/>
      <c r="AY146" s="41"/>
      <c r="AZ146" s="31"/>
      <c r="BA146" s="31"/>
    </row>
    <row r="147" spans="1:53" x14ac:dyDescent="0.25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35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36"/>
      <c r="AW147" s="36"/>
      <c r="AX147" s="19"/>
      <c r="AY147" s="37"/>
      <c r="AZ147" s="24"/>
      <c r="BA147" s="24"/>
    </row>
    <row r="148" spans="1:53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38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39"/>
      <c r="AW148" s="39"/>
      <c r="AX148" s="26"/>
      <c r="AY148" s="41"/>
      <c r="AZ148" s="31"/>
      <c r="BA148" s="31"/>
    </row>
    <row r="149" spans="1:53" x14ac:dyDescent="0.25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35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36"/>
      <c r="AW149" s="36"/>
      <c r="AX149" s="19"/>
      <c r="AY149" s="37"/>
      <c r="AZ149" s="24"/>
      <c r="BA149" s="24"/>
    </row>
    <row r="150" spans="1:53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38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39"/>
      <c r="AW150" s="39"/>
      <c r="AX150" s="26"/>
      <c r="AY150" s="41"/>
      <c r="AZ150" s="31"/>
      <c r="BA150" s="31"/>
    </row>
    <row r="151" spans="1:53" x14ac:dyDescent="0.25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35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36"/>
      <c r="AW151" s="36"/>
      <c r="AX151" s="19"/>
      <c r="AY151" s="37"/>
      <c r="AZ151" s="24"/>
      <c r="BA151" s="24"/>
    </row>
    <row r="152" spans="1:53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38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39"/>
      <c r="AW152" s="39"/>
      <c r="AX152" s="26"/>
      <c r="AY152" s="41"/>
      <c r="AZ152" s="31"/>
      <c r="BA152" s="31"/>
    </row>
    <row r="153" spans="1:53" x14ac:dyDescent="0.25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35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36"/>
      <c r="AW153" s="36"/>
      <c r="AX153" s="19"/>
      <c r="AY153" s="37"/>
      <c r="AZ153" s="24"/>
      <c r="BA153" s="24"/>
    </row>
    <row r="154" spans="1:53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38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39"/>
      <c r="AW154" s="39"/>
      <c r="AX154" s="26"/>
      <c r="AY154" s="41"/>
      <c r="AZ154" s="31"/>
      <c r="BA154" s="31"/>
    </row>
    <row r="155" spans="1:53" x14ac:dyDescent="0.2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35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36"/>
      <c r="AW155" s="36"/>
      <c r="AX155" s="19"/>
      <c r="AY155" s="37"/>
      <c r="AZ155" s="24"/>
      <c r="BA155" s="24"/>
    </row>
    <row r="156" spans="1:53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38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39"/>
      <c r="AW156" s="39"/>
      <c r="AX156" s="26"/>
      <c r="AY156" s="41"/>
      <c r="AZ156" s="31"/>
      <c r="BA156" s="31"/>
    </row>
    <row r="157" spans="1:53" x14ac:dyDescent="0.25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35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36"/>
      <c r="AW157" s="36"/>
      <c r="AX157" s="19"/>
      <c r="AY157" s="37"/>
      <c r="AZ157" s="24"/>
      <c r="BA157" s="24"/>
    </row>
    <row r="158" spans="1:53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38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39"/>
      <c r="AW158" s="39"/>
      <c r="AX158" s="26"/>
      <c r="AY158" s="41"/>
      <c r="AZ158" s="31"/>
      <c r="BA158" s="31"/>
    </row>
    <row r="159" spans="1:53" x14ac:dyDescent="0.25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35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36"/>
      <c r="AW159" s="36"/>
      <c r="AX159" s="19"/>
      <c r="AY159" s="37"/>
      <c r="AZ159" s="24"/>
      <c r="BA159" s="24"/>
    </row>
    <row r="160" spans="1:53" x14ac:dyDescent="0.2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38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39"/>
      <c r="AW160" s="39"/>
      <c r="AX160" s="26"/>
      <c r="AY160" s="41"/>
      <c r="AZ160" s="31"/>
      <c r="BA160" s="31"/>
    </row>
    <row r="161" spans="1:53" x14ac:dyDescent="0.25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35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36"/>
      <c r="AW161" s="36"/>
      <c r="AX161" s="19"/>
      <c r="AY161" s="37"/>
      <c r="AZ161" s="24"/>
      <c r="BA161" s="24"/>
    </row>
    <row r="162" spans="1:53" x14ac:dyDescent="0.25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38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39"/>
      <c r="AW162" s="39"/>
      <c r="AX162" s="26"/>
      <c r="AY162" s="41"/>
      <c r="AZ162" s="31"/>
      <c r="BA162" s="31"/>
    </row>
    <row r="163" spans="1:53" x14ac:dyDescent="0.25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35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36"/>
      <c r="AW163" s="36"/>
      <c r="AX163" s="19"/>
      <c r="AY163" s="37"/>
      <c r="AZ163" s="24"/>
      <c r="BA163" s="24"/>
    </row>
    <row r="164" spans="1:53" x14ac:dyDescent="0.25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38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39"/>
      <c r="AW164" s="39"/>
      <c r="AX164" s="26"/>
      <c r="AY164" s="41"/>
      <c r="AZ164" s="31"/>
      <c r="BA164" s="31"/>
    </row>
    <row r="165" spans="1:53" x14ac:dyDescent="0.2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35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36"/>
      <c r="AW165" s="36"/>
      <c r="AX165" s="19"/>
      <c r="AY165" s="37"/>
      <c r="AZ165" s="24"/>
      <c r="BA165" s="24"/>
    </row>
    <row r="166" spans="1:53" x14ac:dyDescent="0.25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38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39"/>
      <c r="AW166" s="39"/>
      <c r="AX166" s="26"/>
      <c r="AY166" s="41"/>
      <c r="AZ166" s="31"/>
      <c r="BA166" s="31"/>
    </row>
    <row r="167" spans="1:53" x14ac:dyDescent="0.25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35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36"/>
      <c r="AW167" s="36"/>
      <c r="AX167" s="19"/>
      <c r="AY167" s="37"/>
      <c r="AZ167" s="24"/>
      <c r="BA167" s="24"/>
    </row>
    <row r="168" spans="1:53" x14ac:dyDescent="0.25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38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39"/>
      <c r="AW168" s="39"/>
      <c r="AX168" s="26"/>
      <c r="AY168" s="41"/>
      <c r="AZ168" s="31"/>
      <c r="BA168" s="31"/>
    </row>
    <row r="169" spans="1:53" x14ac:dyDescent="0.25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35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36"/>
      <c r="AW169" s="36"/>
      <c r="AX169" s="19"/>
      <c r="AY169" s="37"/>
      <c r="AZ169" s="24"/>
      <c r="BA169" s="24"/>
    </row>
    <row r="170" spans="1:53" x14ac:dyDescent="0.25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38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39"/>
      <c r="AW170" s="39"/>
      <c r="AX170" s="26"/>
      <c r="AY170" s="41"/>
      <c r="AZ170" s="31"/>
      <c r="BA170" s="31"/>
    </row>
    <row r="171" spans="1:53" x14ac:dyDescent="0.25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35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36"/>
      <c r="AW171" s="36"/>
      <c r="AX171" s="19"/>
      <c r="AY171" s="37"/>
      <c r="AZ171" s="24"/>
      <c r="BA171" s="24"/>
    </row>
    <row r="172" spans="1:53" x14ac:dyDescent="0.25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38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39"/>
      <c r="AW172" s="39"/>
      <c r="AX172" s="26"/>
      <c r="AY172" s="41"/>
      <c r="AZ172" s="31"/>
      <c r="BA172" s="31"/>
    </row>
    <row r="173" spans="1:53" x14ac:dyDescent="0.25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35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36"/>
      <c r="AW173" s="36"/>
      <c r="AX173" s="19"/>
      <c r="AY173" s="37"/>
      <c r="AZ173" s="24"/>
      <c r="BA173" s="24"/>
    </row>
    <row r="174" spans="1:53" x14ac:dyDescent="0.25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38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39"/>
      <c r="AW174" s="39"/>
      <c r="AX174" s="26"/>
      <c r="AY174" s="41"/>
      <c r="AZ174" s="31"/>
      <c r="BA174" s="31"/>
    </row>
    <row r="175" spans="1:53" x14ac:dyDescent="0.2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35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36"/>
      <c r="AW175" s="36"/>
      <c r="AX175" s="19"/>
      <c r="AY175" s="37"/>
      <c r="AZ175" s="24"/>
      <c r="BA175" s="24"/>
    </row>
    <row r="176" spans="1:53" x14ac:dyDescent="0.25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38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39"/>
      <c r="AW176" s="39"/>
      <c r="AX176" s="26"/>
      <c r="AY176" s="41"/>
      <c r="AZ176" s="31"/>
      <c r="BA176" s="31"/>
    </row>
    <row r="177" spans="1:53" x14ac:dyDescent="0.25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35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36"/>
      <c r="AW177" s="36"/>
      <c r="AX177" s="19"/>
      <c r="AY177" s="37"/>
      <c r="AZ177" s="24"/>
      <c r="BA177" s="24"/>
    </row>
    <row r="178" spans="1:53" x14ac:dyDescent="0.25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38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39"/>
      <c r="AW178" s="39"/>
      <c r="AX178" s="26"/>
      <c r="AY178" s="41"/>
      <c r="AZ178" s="31"/>
      <c r="BA178" s="31"/>
    </row>
    <row r="179" spans="1:53" x14ac:dyDescent="0.25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35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36"/>
      <c r="AW179" s="36"/>
      <c r="AX179" s="19"/>
      <c r="AY179" s="37"/>
      <c r="AZ179" s="24"/>
      <c r="BA179" s="24"/>
    </row>
    <row r="180" spans="1:53" x14ac:dyDescent="0.25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38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39"/>
      <c r="AW180" s="39"/>
      <c r="AX180" s="26"/>
      <c r="AY180" s="41"/>
      <c r="AZ180" s="31"/>
      <c r="BA180" s="31"/>
    </row>
    <row r="181" spans="1:53" x14ac:dyDescent="0.25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35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36"/>
      <c r="AW181" s="36"/>
      <c r="AX181" s="19"/>
      <c r="AY181" s="37"/>
      <c r="AZ181" s="24"/>
      <c r="BA181" s="24"/>
    </row>
    <row r="182" spans="1:53" x14ac:dyDescent="0.25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38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39"/>
      <c r="AW182" s="39"/>
      <c r="AX182" s="26"/>
      <c r="AY182" s="41"/>
      <c r="AZ182" s="31"/>
      <c r="BA182" s="31"/>
    </row>
    <row r="183" spans="1:53" x14ac:dyDescent="0.25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35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36"/>
      <c r="AW183" s="36"/>
      <c r="AX183" s="19"/>
      <c r="AY183" s="37"/>
      <c r="AZ183" s="24"/>
      <c r="BA183" s="24"/>
    </row>
    <row r="184" spans="1:53" x14ac:dyDescent="0.25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38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39"/>
      <c r="AW184" s="39"/>
      <c r="AX184" s="26"/>
      <c r="AY184" s="41"/>
      <c r="AZ184" s="31"/>
      <c r="BA184" s="31"/>
    </row>
    <row r="185" spans="1:53" x14ac:dyDescent="0.2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35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36"/>
      <c r="AW185" s="36"/>
      <c r="AX185" s="19"/>
      <c r="AY185" s="37"/>
      <c r="AZ185" s="24"/>
      <c r="BA185" s="24"/>
    </row>
    <row r="186" spans="1:53" x14ac:dyDescent="0.25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38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39"/>
      <c r="AW186" s="39"/>
      <c r="AX186" s="26"/>
      <c r="AY186" s="41"/>
      <c r="AZ186" s="31"/>
      <c r="BA186" s="31"/>
    </row>
    <row r="187" spans="1:53" x14ac:dyDescent="0.25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35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36"/>
      <c r="AW187" s="36"/>
      <c r="AX187" s="19"/>
      <c r="AY187" s="37"/>
      <c r="AZ187" s="24"/>
      <c r="BA187" s="24"/>
    </row>
    <row r="188" spans="1:53" x14ac:dyDescent="0.25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38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39"/>
      <c r="AW188" s="39"/>
      <c r="AX188" s="26"/>
      <c r="AY188" s="41"/>
      <c r="AZ188" s="31"/>
      <c r="BA188" s="31"/>
    </row>
    <row r="189" spans="1:53" x14ac:dyDescent="0.25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35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36"/>
      <c r="AW189" s="36"/>
      <c r="AX189" s="19"/>
      <c r="AY189" s="37"/>
      <c r="AZ189" s="24"/>
      <c r="BA189" s="24"/>
    </row>
    <row r="190" spans="1:53" x14ac:dyDescent="0.25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38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39"/>
      <c r="AW190" s="39"/>
      <c r="AX190" s="26"/>
      <c r="AY190" s="41"/>
      <c r="AZ190" s="31"/>
      <c r="BA190" s="31"/>
    </row>
    <row r="191" spans="1:53" x14ac:dyDescent="0.25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35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36"/>
      <c r="AW191" s="36"/>
      <c r="AX191" s="19"/>
      <c r="AY191" s="37"/>
      <c r="AZ191" s="24"/>
      <c r="BA191" s="24"/>
    </row>
    <row r="192" spans="1:53" x14ac:dyDescent="0.25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38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39"/>
      <c r="AW192" s="39"/>
      <c r="AX192" s="26"/>
      <c r="AY192" s="41"/>
      <c r="AZ192" s="31"/>
      <c r="BA192" s="31"/>
    </row>
    <row r="193" spans="1:53" x14ac:dyDescent="0.25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35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36"/>
      <c r="AW193" s="36"/>
      <c r="AX193" s="19"/>
      <c r="AY193" s="37"/>
      <c r="AZ193" s="24"/>
      <c r="BA193" s="24"/>
    </row>
    <row r="194" spans="1:53" x14ac:dyDescent="0.25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38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39"/>
      <c r="AW194" s="39"/>
      <c r="AX194" s="26"/>
      <c r="AY194" s="41"/>
      <c r="AZ194" s="31"/>
      <c r="BA194" s="31"/>
    </row>
    <row r="195" spans="1:53" x14ac:dyDescent="0.2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35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36"/>
      <c r="AW195" s="36"/>
      <c r="AX195" s="19"/>
      <c r="AY195" s="37"/>
      <c r="AZ195" s="24"/>
      <c r="BA195" s="24"/>
    </row>
    <row r="196" spans="1:53" x14ac:dyDescent="0.25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38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39"/>
      <c r="AW196" s="39"/>
      <c r="AX196" s="26"/>
      <c r="AY196" s="41"/>
      <c r="AZ196" s="31"/>
      <c r="BA196" s="31"/>
    </row>
    <row r="197" spans="1:53" x14ac:dyDescent="0.25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35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36"/>
      <c r="AW197" s="36"/>
      <c r="AX197" s="19"/>
      <c r="AY197" s="37"/>
      <c r="AZ197" s="24"/>
      <c r="BA197" s="24"/>
    </row>
    <row r="198" spans="1:53" x14ac:dyDescent="0.25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38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39"/>
      <c r="AW198" s="39"/>
      <c r="AX198" s="26"/>
      <c r="AY198" s="41"/>
      <c r="AZ198" s="31"/>
      <c r="BA198" s="31"/>
    </row>
    <row r="199" spans="1:53" x14ac:dyDescent="0.25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35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36"/>
      <c r="AW199" s="36"/>
      <c r="AX199" s="19"/>
      <c r="AY199" s="37"/>
      <c r="AZ199" s="24"/>
      <c r="BA199" s="24"/>
    </row>
    <row r="200" spans="1:53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38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39"/>
      <c r="AW200" s="39"/>
      <c r="AX200" s="26"/>
      <c r="AY200" s="41"/>
      <c r="AZ200" s="31"/>
      <c r="BA200" s="31"/>
    </row>
    <row r="201" spans="1:53" x14ac:dyDescent="0.25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35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36"/>
      <c r="AW201" s="36"/>
      <c r="AX201" s="19"/>
      <c r="AY201" s="37"/>
      <c r="AZ201" s="24"/>
      <c r="BA201" s="24"/>
    </row>
    <row r="202" spans="1:53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38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39"/>
      <c r="AW202" s="39"/>
      <c r="AX202" s="26"/>
      <c r="AY202" s="41"/>
      <c r="AZ202" s="31"/>
      <c r="BA202" s="31"/>
    </row>
    <row r="203" spans="1:53" x14ac:dyDescent="0.25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35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36"/>
      <c r="AW203" s="36"/>
      <c r="AX203" s="19"/>
      <c r="AY203" s="37"/>
      <c r="AZ203" s="24"/>
      <c r="BA203" s="24"/>
    </row>
    <row r="204" spans="1:53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38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39"/>
      <c r="AW204" s="39"/>
      <c r="AX204" s="26"/>
      <c r="AY204" s="41"/>
      <c r="AZ204" s="31"/>
      <c r="BA204" s="31"/>
    </row>
    <row r="205" spans="1:53" x14ac:dyDescent="0.2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35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36"/>
      <c r="AW205" s="36"/>
      <c r="AX205" s="19"/>
      <c r="AY205" s="37"/>
      <c r="AZ205" s="24"/>
      <c r="BA205" s="24"/>
    </row>
    <row r="206" spans="1:53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38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39"/>
      <c r="AW206" s="39"/>
      <c r="AX206" s="26"/>
      <c r="AY206" s="41"/>
      <c r="AZ206" s="31"/>
      <c r="BA206" s="31"/>
    </row>
    <row r="207" spans="1:53" x14ac:dyDescent="0.25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35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36"/>
      <c r="AW207" s="36"/>
      <c r="AX207" s="19"/>
      <c r="AY207" s="37"/>
      <c r="AZ207" s="24"/>
      <c r="BA207" s="24"/>
    </row>
    <row r="208" spans="1:53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38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39"/>
      <c r="AW208" s="39"/>
      <c r="AX208" s="26"/>
      <c r="AY208" s="41"/>
      <c r="AZ208" s="31"/>
      <c r="BA208" s="31"/>
    </row>
    <row r="209" spans="1:53" x14ac:dyDescent="0.25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35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36"/>
      <c r="AW209" s="36"/>
      <c r="AX209" s="19"/>
      <c r="AY209" s="37"/>
      <c r="AZ209" s="24"/>
      <c r="BA209" s="24"/>
    </row>
    <row r="210" spans="1:53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38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39"/>
      <c r="AW210" s="39"/>
      <c r="AX210" s="26"/>
      <c r="AY210" s="41"/>
      <c r="AZ210" s="31"/>
      <c r="BA210" s="31"/>
    </row>
    <row r="211" spans="1:53" x14ac:dyDescent="0.25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35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36"/>
      <c r="AW211" s="36"/>
      <c r="AX211" s="19"/>
      <c r="AY211" s="37"/>
      <c r="AZ211" s="24"/>
      <c r="BA211" s="24"/>
    </row>
    <row r="212" spans="1:53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38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39"/>
      <c r="AW212" s="39"/>
      <c r="AX212" s="26"/>
      <c r="AY212" s="41"/>
      <c r="AZ212" s="31"/>
      <c r="BA212" s="31"/>
    </row>
    <row r="213" spans="1:53" x14ac:dyDescent="0.25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35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36"/>
      <c r="AW213" s="36"/>
      <c r="AX213" s="19"/>
      <c r="AY213" s="37"/>
      <c r="AZ213" s="24"/>
      <c r="BA213" s="24"/>
    </row>
    <row r="214" spans="1:53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38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39"/>
      <c r="AW214" s="39"/>
      <c r="AX214" s="26"/>
      <c r="AY214" s="41"/>
      <c r="AZ214" s="31"/>
      <c r="BA214" s="31"/>
    </row>
    <row r="215" spans="1:53" x14ac:dyDescent="0.2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35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36"/>
      <c r="AW215" s="36"/>
      <c r="AX215" s="19"/>
      <c r="AY215" s="37"/>
      <c r="AZ215" s="24"/>
      <c r="BA215" s="24"/>
    </row>
    <row r="216" spans="1:53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38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39"/>
      <c r="AW216" s="39"/>
      <c r="AX216" s="26"/>
      <c r="AY216" s="41"/>
      <c r="AZ216" s="31"/>
      <c r="BA216" s="31"/>
    </row>
    <row r="217" spans="1:53" x14ac:dyDescent="0.25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35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36"/>
      <c r="AW217" s="36"/>
      <c r="AX217" s="19"/>
      <c r="AY217" s="37"/>
      <c r="AZ217" s="24"/>
      <c r="BA217" s="24"/>
    </row>
    <row r="218" spans="1:53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38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39"/>
      <c r="AW218" s="39"/>
      <c r="AX218" s="26"/>
      <c r="AY218" s="41"/>
      <c r="AZ218" s="31"/>
      <c r="BA218" s="31"/>
    </row>
    <row r="219" spans="1:53" x14ac:dyDescent="0.25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35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36"/>
      <c r="AW219" s="36"/>
      <c r="AX219" s="19"/>
      <c r="AY219" s="37"/>
      <c r="AZ219" s="24"/>
      <c r="BA219" s="24"/>
    </row>
    <row r="220" spans="1:53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38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39"/>
      <c r="AW220" s="39"/>
      <c r="AX220" s="26"/>
      <c r="AY220" s="41"/>
      <c r="AZ220" s="31"/>
      <c r="BA220" s="31"/>
    </row>
    <row r="221" spans="1:53" x14ac:dyDescent="0.25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35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36"/>
      <c r="AW221" s="36"/>
      <c r="AX221" s="19"/>
      <c r="AY221" s="37"/>
      <c r="AZ221" s="24"/>
      <c r="BA221" s="24"/>
    </row>
    <row r="222" spans="1:53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38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39"/>
      <c r="AW222" s="39"/>
      <c r="AX222" s="26"/>
      <c r="AY222" s="41"/>
      <c r="AZ222" s="31"/>
      <c r="BA222" s="31"/>
    </row>
    <row r="223" spans="1:53" x14ac:dyDescent="0.25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35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36"/>
      <c r="AW223" s="36"/>
      <c r="AX223" s="19"/>
      <c r="AY223" s="37"/>
      <c r="AZ223" s="24"/>
      <c r="BA223" s="24"/>
    </row>
    <row r="224" spans="1:53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38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39"/>
      <c r="AW224" s="39"/>
      <c r="AX224" s="26"/>
      <c r="AY224" s="41"/>
      <c r="AZ224" s="31"/>
      <c r="BA224" s="31"/>
    </row>
    <row r="225" spans="1:53" x14ac:dyDescent="0.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35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36"/>
      <c r="AW225" s="36"/>
      <c r="AX225" s="19"/>
      <c r="AY225" s="37"/>
      <c r="AZ225" s="24"/>
      <c r="BA225" s="24"/>
    </row>
    <row r="226" spans="1:53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38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39"/>
      <c r="AW226" s="39"/>
      <c r="AX226" s="26"/>
      <c r="AY226" s="41"/>
      <c r="AZ226" s="31"/>
      <c r="BA226" s="31"/>
    </row>
    <row r="227" spans="1:53" x14ac:dyDescent="0.25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35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36"/>
      <c r="AW227" s="36"/>
      <c r="AX227" s="19"/>
      <c r="AY227" s="37"/>
      <c r="AZ227" s="24"/>
      <c r="BA227" s="24"/>
    </row>
    <row r="228" spans="1:53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38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39"/>
      <c r="AW228" s="39"/>
      <c r="AX228" s="26"/>
      <c r="AY228" s="41"/>
      <c r="AZ228" s="31"/>
      <c r="BA228" s="31"/>
    </row>
    <row r="229" spans="1:53" x14ac:dyDescent="0.25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35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36"/>
      <c r="AW229" s="36"/>
      <c r="AX229" s="19"/>
      <c r="AY229" s="37"/>
      <c r="AZ229" s="24"/>
      <c r="BA229" s="24"/>
    </row>
    <row r="230" spans="1:53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38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39"/>
      <c r="AW230" s="39"/>
      <c r="AX230" s="26"/>
      <c r="AY230" s="41"/>
      <c r="AZ230" s="31"/>
      <c r="BA230" s="31"/>
    </row>
    <row r="231" spans="1:53" x14ac:dyDescent="0.25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35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36"/>
      <c r="AW231" s="36"/>
      <c r="AX231" s="19"/>
      <c r="AY231" s="37"/>
      <c r="AZ231" s="24"/>
      <c r="BA231" s="24"/>
    </row>
    <row r="232" spans="1:53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38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39"/>
      <c r="AW232" s="39"/>
      <c r="AX232" s="26"/>
      <c r="AY232" s="41"/>
      <c r="AZ232" s="31"/>
      <c r="BA232" s="31"/>
    </row>
    <row r="233" spans="1:53" x14ac:dyDescent="0.25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35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36"/>
      <c r="AW233" s="36"/>
      <c r="AX233" s="19"/>
      <c r="AY233" s="37"/>
      <c r="AZ233" s="24"/>
      <c r="BA233" s="24"/>
    </row>
    <row r="234" spans="1:53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38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39"/>
      <c r="AW234" s="39"/>
      <c r="AX234" s="26"/>
      <c r="AY234" s="41"/>
      <c r="AZ234" s="31"/>
      <c r="BA234" s="31"/>
    </row>
    <row r="235" spans="1:53" x14ac:dyDescent="0.2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35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36"/>
      <c r="AW235" s="36"/>
      <c r="AX235" s="19"/>
      <c r="AY235" s="37"/>
      <c r="AZ235" s="24"/>
      <c r="BA235" s="24"/>
    </row>
    <row r="236" spans="1:53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38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39"/>
      <c r="AW236" s="39"/>
      <c r="AX236" s="26"/>
      <c r="AY236" s="41"/>
      <c r="AZ236" s="31"/>
      <c r="BA236" s="31"/>
    </row>
    <row r="237" spans="1:53" x14ac:dyDescent="0.25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35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36"/>
      <c r="AW237" s="36"/>
      <c r="AX237" s="19"/>
      <c r="AY237" s="37"/>
      <c r="AZ237" s="24"/>
      <c r="BA237" s="24"/>
    </row>
    <row r="238" spans="1:53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38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39"/>
      <c r="AW238" s="39"/>
      <c r="AX238" s="26"/>
      <c r="AY238" s="41"/>
      <c r="AZ238" s="31"/>
      <c r="BA238" s="31"/>
    </row>
    <row r="239" spans="1:53" x14ac:dyDescent="0.25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35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36"/>
      <c r="AW239" s="36"/>
      <c r="AX239" s="19"/>
      <c r="AY239" s="37"/>
      <c r="AZ239" s="24"/>
      <c r="BA239" s="24"/>
    </row>
    <row r="240" spans="1:53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38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39"/>
      <c r="AW240" s="39"/>
      <c r="AX240" s="26"/>
      <c r="AY240" s="41"/>
      <c r="AZ240" s="31"/>
      <c r="BA240" s="31"/>
    </row>
    <row r="241" spans="1:53" x14ac:dyDescent="0.25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35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36"/>
      <c r="AW241" s="36"/>
      <c r="AX241" s="19"/>
      <c r="AY241" s="37"/>
      <c r="AZ241" s="24"/>
      <c r="BA241" s="24"/>
    </row>
    <row r="242" spans="1:53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38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39"/>
      <c r="AW242" s="39"/>
      <c r="AX242" s="26"/>
      <c r="AY242" s="41"/>
      <c r="AZ242" s="31"/>
      <c r="BA242" s="31"/>
    </row>
    <row r="243" spans="1:53" x14ac:dyDescent="0.25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35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36"/>
      <c r="AW243" s="36"/>
      <c r="AX243" s="19"/>
      <c r="AY243" s="37"/>
      <c r="AZ243" s="24"/>
      <c r="BA243" s="24"/>
    </row>
    <row r="244" spans="1:53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38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39"/>
      <c r="AW244" s="39"/>
      <c r="AX244" s="26"/>
      <c r="AY244" s="41"/>
      <c r="AZ244" s="31"/>
      <c r="BA244" s="31"/>
    </row>
    <row r="245" spans="1:53" x14ac:dyDescent="0.2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35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36"/>
      <c r="AW245" s="36"/>
      <c r="AX245" s="19"/>
      <c r="AY245" s="37"/>
      <c r="AZ245" s="24"/>
      <c r="BA245" s="24"/>
    </row>
    <row r="246" spans="1:53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38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39"/>
      <c r="AW246" s="39"/>
      <c r="AX246" s="26"/>
      <c r="AY246" s="41"/>
      <c r="AZ246" s="31"/>
      <c r="BA246" s="31"/>
    </row>
    <row r="247" spans="1:53" x14ac:dyDescent="0.25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35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36"/>
      <c r="AW247" s="36"/>
      <c r="AX247" s="19"/>
      <c r="AY247" s="37"/>
      <c r="AZ247" s="24"/>
      <c r="BA247" s="24"/>
    </row>
    <row r="248" spans="1:53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38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39"/>
      <c r="AW248" s="39"/>
      <c r="AX248" s="26"/>
      <c r="AY248" s="41"/>
      <c r="AZ248" s="31"/>
      <c r="BA248" s="31"/>
    </row>
    <row r="249" spans="1:53" x14ac:dyDescent="0.25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35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36"/>
      <c r="AW249" s="36"/>
      <c r="AX249" s="19"/>
      <c r="AY249" s="37"/>
      <c r="AZ249" s="24"/>
      <c r="BA249" s="24"/>
    </row>
    <row r="250" spans="1:53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38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39"/>
      <c r="AW250" s="39"/>
      <c r="AX250" s="26"/>
      <c r="AY250" s="41"/>
      <c r="AZ250" s="31"/>
      <c r="BA250" s="31"/>
    </row>
    <row r="251" spans="1:53" x14ac:dyDescent="0.25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35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36"/>
      <c r="AW251" s="36"/>
      <c r="AX251" s="19"/>
      <c r="AY251" s="37"/>
      <c r="AZ251" s="24"/>
      <c r="BA251" s="24"/>
    </row>
    <row r="252" spans="1:53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38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39"/>
      <c r="AW252" s="39"/>
      <c r="AX252" s="26"/>
      <c r="AY252" s="41"/>
      <c r="AZ252" s="31"/>
      <c r="BA252" s="31"/>
    </row>
    <row r="253" spans="1:53" x14ac:dyDescent="0.25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35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36"/>
      <c r="AW253" s="36"/>
      <c r="AX253" s="19"/>
      <c r="AY253" s="37"/>
      <c r="AZ253" s="24"/>
      <c r="BA253" s="24"/>
    </row>
    <row r="254" spans="1:53" x14ac:dyDescent="0.2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38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39"/>
      <c r="AW254" s="39"/>
      <c r="AX254" s="26"/>
      <c r="AY254" s="41"/>
      <c r="AZ254" s="31"/>
      <c r="BA254" s="31"/>
    </row>
    <row r="255" spans="1:53" x14ac:dyDescent="0.2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35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36"/>
      <c r="AW255" s="36"/>
      <c r="AX255" s="19"/>
      <c r="AY255" s="37"/>
      <c r="AZ255" s="24"/>
      <c r="BA255" s="24"/>
    </row>
    <row r="256" spans="1:53" x14ac:dyDescent="0.2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38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39"/>
      <c r="AW256" s="39"/>
      <c r="AX256" s="26"/>
      <c r="AY256" s="41"/>
      <c r="AZ256" s="31"/>
      <c r="BA256" s="31"/>
    </row>
    <row r="257" spans="1:53" x14ac:dyDescent="0.25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35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36"/>
      <c r="AW257" s="36"/>
      <c r="AX257" s="19"/>
      <c r="AY257" s="37"/>
      <c r="AZ257" s="24"/>
      <c r="BA257" s="24"/>
    </row>
    <row r="258" spans="1:53" x14ac:dyDescent="0.2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38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39"/>
      <c r="AW258" s="39"/>
      <c r="AX258" s="26"/>
      <c r="AY258" s="41"/>
      <c r="AZ258" s="31"/>
      <c r="BA258" s="31"/>
    </row>
    <row r="259" spans="1:53" x14ac:dyDescent="0.25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35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36"/>
      <c r="AW259" s="36"/>
      <c r="AX259" s="19"/>
      <c r="AY259" s="37"/>
      <c r="AZ259" s="24"/>
      <c r="BA259" s="24"/>
    </row>
    <row r="260" spans="1:53" x14ac:dyDescent="0.2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38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39"/>
      <c r="AW260" s="39"/>
      <c r="AX260" s="26"/>
      <c r="AY260" s="41"/>
      <c r="AZ260" s="31"/>
      <c r="BA260" s="31"/>
    </row>
    <row r="261" spans="1:53" x14ac:dyDescent="0.25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35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36"/>
      <c r="AW261" s="36"/>
      <c r="AX261" s="19"/>
      <c r="AY261" s="37"/>
      <c r="AZ261" s="24"/>
      <c r="BA261" s="24"/>
    </row>
    <row r="262" spans="1:53" x14ac:dyDescent="0.2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38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39"/>
      <c r="AW262" s="39"/>
      <c r="AX262" s="26"/>
      <c r="AY262" s="41"/>
      <c r="AZ262" s="31"/>
      <c r="BA262" s="31"/>
    </row>
    <row r="263" spans="1:53" x14ac:dyDescent="0.25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35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36"/>
      <c r="AW263" s="36"/>
      <c r="AX263" s="19"/>
      <c r="AY263" s="37"/>
      <c r="AZ263" s="24"/>
      <c r="BA263" s="24"/>
    </row>
    <row r="264" spans="1:53" x14ac:dyDescent="0.2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38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39"/>
      <c r="AW264" s="39"/>
      <c r="AX264" s="26"/>
      <c r="AY264" s="41"/>
      <c r="AZ264" s="31"/>
      <c r="BA264" s="31"/>
    </row>
    <row r="265" spans="1:53" x14ac:dyDescent="0.2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35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36"/>
      <c r="AW265" s="36"/>
      <c r="AX265" s="19"/>
      <c r="AY265" s="37"/>
      <c r="AZ265" s="24"/>
      <c r="BA265" s="24"/>
    </row>
    <row r="266" spans="1:53" x14ac:dyDescent="0.2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38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39"/>
      <c r="AW266" s="39"/>
      <c r="AX266" s="26"/>
      <c r="AY266" s="41"/>
      <c r="AZ266" s="31"/>
      <c r="BA266" s="31"/>
    </row>
    <row r="267" spans="1:53" x14ac:dyDescent="0.25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35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36"/>
      <c r="AW267" s="36"/>
      <c r="AX267" s="19"/>
      <c r="AY267" s="37"/>
      <c r="AZ267" s="24"/>
      <c r="BA267" s="24"/>
    </row>
    <row r="268" spans="1:53" x14ac:dyDescent="0.2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38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39"/>
      <c r="AW268" s="39"/>
      <c r="AX268" s="26"/>
      <c r="AY268" s="41"/>
      <c r="AZ268" s="31"/>
      <c r="BA268" s="31"/>
    </row>
    <row r="269" spans="1:53" x14ac:dyDescent="0.25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35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36"/>
      <c r="AW269" s="36"/>
      <c r="AX269" s="19"/>
      <c r="AY269" s="37"/>
      <c r="AZ269" s="24"/>
      <c r="BA269" s="24"/>
    </row>
    <row r="270" spans="1:53" x14ac:dyDescent="0.2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38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39"/>
      <c r="AW270" s="39"/>
      <c r="AX270" s="26"/>
      <c r="AY270" s="41"/>
      <c r="AZ270" s="31"/>
      <c r="BA270" s="31"/>
    </row>
    <row r="271" spans="1:53" x14ac:dyDescent="0.25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35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36"/>
      <c r="AW271" s="36"/>
      <c r="AX271" s="19"/>
      <c r="AY271" s="37"/>
      <c r="AZ271" s="24"/>
      <c r="BA271" s="24"/>
    </row>
    <row r="272" spans="1:53" x14ac:dyDescent="0.2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38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39"/>
      <c r="AW272" s="39"/>
      <c r="AX272" s="26"/>
      <c r="AY272" s="41"/>
      <c r="AZ272" s="31"/>
      <c r="BA272" s="31"/>
    </row>
    <row r="273" spans="1:53" x14ac:dyDescent="0.25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35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36"/>
      <c r="AW273" s="36"/>
      <c r="AX273" s="19"/>
      <c r="AY273" s="37"/>
      <c r="AZ273" s="24"/>
      <c r="BA273" s="24"/>
    </row>
    <row r="274" spans="1:53" x14ac:dyDescent="0.2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38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39"/>
      <c r="AW274" s="39"/>
      <c r="AX274" s="26"/>
      <c r="AY274" s="41"/>
      <c r="AZ274" s="31"/>
      <c r="BA274" s="31"/>
    </row>
    <row r="275" spans="1:53" x14ac:dyDescent="0.2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35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36"/>
      <c r="AW275" s="36"/>
      <c r="AX275" s="19"/>
      <c r="AY275" s="37"/>
      <c r="AZ275" s="24"/>
      <c r="BA275" s="24"/>
    </row>
    <row r="276" spans="1:53" x14ac:dyDescent="0.2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38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39"/>
      <c r="AW276" s="39"/>
      <c r="AX276" s="26"/>
      <c r="AY276" s="41"/>
      <c r="AZ276" s="31"/>
      <c r="BA276" s="31"/>
    </row>
    <row r="277" spans="1:53" x14ac:dyDescent="0.25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35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36"/>
      <c r="AW277" s="36"/>
      <c r="AX277" s="19"/>
      <c r="AY277" s="37"/>
      <c r="AZ277" s="24"/>
      <c r="BA277" s="24"/>
    </row>
    <row r="278" spans="1:53" x14ac:dyDescent="0.2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38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39"/>
      <c r="AW278" s="39"/>
      <c r="AX278" s="26"/>
      <c r="AY278" s="41"/>
      <c r="AZ278" s="31"/>
      <c r="BA278" s="31"/>
    </row>
    <row r="279" spans="1:53" x14ac:dyDescent="0.25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35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36"/>
      <c r="AW279" s="36"/>
      <c r="AX279" s="19"/>
      <c r="AY279" s="37"/>
      <c r="AZ279" s="24"/>
      <c r="BA279" s="24"/>
    </row>
    <row r="280" spans="1:53" x14ac:dyDescent="0.2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38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39"/>
      <c r="AW280" s="39"/>
      <c r="AX280" s="26"/>
      <c r="AY280" s="41"/>
      <c r="AZ280" s="31"/>
      <c r="BA280" s="31"/>
    </row>
    <row r="281" spans="1:53" x14ac:dyDescent="0.25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35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36"/>
      <c r="AW281" s="36"/>
      <c r="AX281" s="19"/>
      <c r="AY281" s="37"/>
      <c r="AZ281" s="24"/>
      <c r="BA281" s="24"/>
    </row>
    <row r="282" spans="1:53" x14ac:dyDescent="0.2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38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39"/>
      <c r="AW282" s="39"/>
      <c r="AX282" s="26"/>
      <c r="AY282" s="41"/>
      <c r="AZ282" s="31"/>
      <c r="BA282" s="31"/>
    </row>
    <row r="283" spans="1:53" x14ac:dyDescent="0.25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35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36"/>
      <c r="AW283" s="36"/>
      <c r="AX283" s="19"/>
      <c r="AY283" s="37"/>
      <c r="AZ283" s="24"/>
      <c r="BA283" s="24"/>
    </row>
    <row r="284" spans="1:53" x14ac:dyDescent="0.2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38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39"/>
      <c r="AW284" s="39"/>
      <c r="AX284" s="26"/>
      <c r="AY284" s="41"/>
      <c r="AZ284" s="31"/>
      <c r="BA284" s="31"/>
    </row>
    <row r="285" spans="1:53" x14ac:dyDescent="0.2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35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36"/>
      <c r="AW285" s="36"/>
      <c r="AX285" s="19"/>
      <c r="AY285" s="37"/>
      <c r="AZ285" s="24"/>
      <c r="BA285" s="24"/>
    </row>
    <row r="286" spans="1:53" x14ac:dyDescent="0.2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38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39"/>
      <c r="AW286" s="39"/>
      <c r="AX286" s="26"/>
      <c r="AY286" s="41"/>
      <c r="AZ286" s="31"/>
      <c r="BA286" s="31"/>
    </row>
    <row r="287" spans="1:53" x14ac:dyDescent="0.25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35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36"/>
      <c r="AW287" s="36"/>
      <c r="AX287" s="19"/>
      <c r="AY287" s="37"/>
      <c r="AZ287" s="24"/>
      <c r="BA287" s="24"/>
    </row>
    <row r="288" spans="1:53" x14ac:dyDescent="0.2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38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39"/>
      <c r="AW288" s="39"/>
      <c r="AX288" s="26"/>
      <c r="AY288" s="41"/>
      <c r="AZ288" s="31"/>
      <c r="BA288" s="31"/>
    </row>
    <row r="289" spans="1:53" x14ac:dyDescent="0.25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35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36"/>
      <c r="AW289" s="36"/>
      <c r="AX289" s="19"/>
      <c r="AY289" s="37"/>
      <c r="AZ289" s="24"/>
      <c r="BA289" s="24"/>
    </row>
    <row r="290" spans="1:53" x14ac:dyDescent="0.2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38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39"/>
      <c r="AW290" s="39"/>
      <c r="AX290" s="26"/>
      <c r="AY290" s="41"/>
      <c r="AZ290" s="31"/>
      <c r="BA290" s="31"/>
    </row>
    <row r="291" spans="1:53" x14ac:dyDescent="0.25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35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36"/>
      <c r="AW291" s="36"/>
      <c r="AX291" s="19"/>
      <c r="AY291" s="37"/>
      <c r="AZ291" s="24"/>
      <c r="BA291" s="24"/>
    </row>
    <row r="292" spans="1:53" x14ac:dyDescent="0.2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38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39"/>
      <c r="AW292" s="39"/>
      <c r="AX292" s="26"/>
      <c r="AY292" s="41"/>
      <c r="AZ292" s="31"/>
      <c r="BA292" s="31"/>
    </row>
    <row r="293" spans="1:53" x14ac:dyDescent="0.25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35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36"/>
      <c r="AW293" s="36"/>
      <c r="AX293" s="19"/>
      <c r="AY293" s="37"/>
      <c r="AZ293" s="24"/>
      <c r="BA293" s="24"/>
    </row>
    <row r="294" spans="1:53" x14ac:dyDescent="0.2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38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39"/>
      <c r="AW294" s="39"/>
      <c r="AX294" s="26"/>
      <c r="AY294" s="41"/>
      <c r="AZ294" s="31"/>
      <c r="BA294" s="31"/>
    </row>
    <row r="295" spans="1:53" x14ac:dyDescent="0.2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35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36"/>
      <c r="AW295" s="36"/>
      <c r="AX295" s="19"/>
      <c r="AY295" s="37"/>
      <c r="AZ295" s="24"/>
      <c r="BA295" s="24"/>
    </row>
    <row r="296" spans="1:53" x14ac:dyDescent="0.2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38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39"/>
      <c r="AW296" s="39"/>
      <c r="AX296" s="26"/>
      <c r="AY296" s="41"/>
      <c r="AZ296" s="31"/>
      <c r="BA296" s="31"/>
    </row>
    <row r="297" spans="1:53" x14ac:dyDescent="0.25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35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36"/>
      <c r="AW297" s="36"/>
      <c r="AX297" s="19"/>
      <c r="AY297" s="37"/>
      <c r="AZ297" s="24"/>
      <c r="BA297" s="24"/>
    </row>
    <row r="298" spans="1:53" x14ac:dyDescent="0.2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38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39"/>
      <c r="AW298" s="39"/>
      <c r="AX298" s="26"/>
      <c r="AY298" s="41"/>
      <c r="AZ298" s="31"/>
      <c r="BA298" s="31"/>
    </row>
    <row r="299" spans="1:53" x14ac:dyDescent="0.25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35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36"/>
      <c r="AW299" s="36"/>
      <c r="AX299" s="19"/>
      <c r="AY299" s="37"/>
      <c r="AZ299" s="24"/>
      <c r="BA299" s="24"/>
    </row>
    <row r="300" spans="1:53" x14ac:dyDescent="0.2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38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39"/>
      <c r="AW300" s="39"/>
      <c r="AX300" s="26"/>
      <c r="AY300" s="41"/>
      <c r="AZ300" s="31"/>
      <c r="BA300" s="31"/>
    </row>
    <row r="301" spans="1:53" x14ac:dyDescent="0.25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35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36"/>
      <c r="AW301" s="36"/>
      <c r="AX301" s="19"/>
      <c r="AY301" s="37"/>
      <c r="AZ301" s="24"/>
      <c r="BA301" s="24"/>
    </row>
    <row r="302" spans="1:53" x14ac:dyDescent="0.2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38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39"/>
      <c r="AW302" s="39"/>
      <c r="AX302" s="26"/>
      <c r="AY302" s="41"/>
      <c r="AZ302" s="31"/>
      <c r="BA302" s="31"/>
    </row>
    <row r="303" spans="1:53" x14ac:dyDescent="0.25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35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36"/>
      <c r="AW303" s="36"/>
      <c r="AX303" s="19"/>
      <c r="AY303" s="37"/>
      <c r="AZ303" s="24"/>
      <c r="BA303" s="24"/>
    </row>
    <row r="304" spans="1:53" x14ac:dyDescent="0.2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38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39"/>
      <c r="AW304" s="39"/>
      <c r="AX304" s="26"/>
      <c r="AY304" s="41"/>
      <c r="AZ304" s="31"/>
      <c r="BA304" s="31"/>
    </row>
    <row r="305" spans="1:53" x14ac:dyDescent="0.2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35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36"/>
      <c r="AW305" s="36"/>
      <c r="AX305" s="19"/>
      <c r="AY305" s="37"/>
      <c r="AZ305" s="24"/>
      <c r="BA305" s="24"/>
    </row>
    <row r="306" spans="1:53" x14ac:dyDescent="0.2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38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39"/>
      <c r="AW306" s="39"/>
      <c r="AX306" s="26"/>
      <c r="AY306" s="41"/>
      <c r="AZ306" s="31"/>
      <c r="BA306" s="31"/>
    </row>
    <row r="307" spans="1:53" x14ac:dyDescent="0.25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35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36"/>
      <c r="AW307" s="36"/>
      <c r="AX307" s="19"/>
      <c r="AY307" s="37"/>
      <c r="AZ307" s="24"/>
      <c r="BA307" s="24"/>
    </row>
    <row r="308" spans="1:53" x14ac:dyDescent="0.2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38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39"/>
      <c r="AW308" s="39"/>
      <c r="AX308" s="26"/>
      <c r="AY308" s="41"/>
      <c r="AZ308" s="31"/>
      <c r="BA308" s="31"/>
    </row>
    <row r="309" spans="1:53" x14ac:dyDescent="0.25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35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36"/>
      <c r="AW309" s="36"/>
      <c r="AX309" s="19"/>
      <c r="AY309" s="37"/>
      <c r="AZ309" s="24"/>
      <c r="BA309" s="24"/>
    </row>
    <row r="310" spans="1:53" x14ac:dyDescent="0.2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38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39"/>
      <c r="AW310" s="39"/>
      <c r="AX310" s="26"/>
      <c r="AY310" s="41"/>
      <c r="AZ310" s="31"/>
      <c r="BA310" s="31"/>
    </row>
    <row r="311" spans="1:53" x14ac:dyDescent="0.25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35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36"/>
      <c r="AW311" s="36"/>
      <c r="AX311" s="19"/>
      <c r="AY311" s="37"/>
      <c r="AZ311" s="24"/>
      <c r="BA311" s="24"/>
    </row>
    <row r="312" spans="1:53" x14ac:dyDescent="0.2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38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39"/>
      <c r="AW312" s="39"/>
      <c r="AX312" s="26"/>
      <c r="AY312" s="41"/>
      <c r="AZ312" s="31"/>
      <c r="BA312" s="31"/>
    </row>
    <row r="313" spans="1:53" x14ac:dyDescent="0.25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35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36"/>
      <c r="AW313" s="36"/>
      <c r="AX313" s="19"/>
      <c r="AY313" s="37"/>
      <c r="AZ313" s="24"/>
      <c r="BA313" s="24"/>
    </row>
    <row r="314" spans="1:53" x14ac:dyDescent="0.2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38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39"/>
      <c r="AW314" s="39"/>
      <c r="AX314" s="26"/>
      <c r="AY314" s="41"/>
      <c r="AZ314" s="31"/>
      <c r="BA314" s="31"/>
    </row>
    <row r="315" spans="1:53" x14ac:dyDescent="0.2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35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36"/>
      <c r="AW315" s="36"/>
      <c r="AX315" s="19"/>
      <c r="AY315" s="37"/>
      <c r="AZ315" s="24"/>
      <c r="BA315" s="24"/>
    </row>
    <row r="316" spans="1:53" x14ac:dyDescent="0.2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38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39"/>
      <c r="AW316" s="39"/>
      <c r="AX316" s="26"/>
      <c r="AY316" s="41"/>
      <c r="AZ316" s="31"/>
      <c r="BA316" s="31"/>
    </row>
    <row r="317" spans="1:53" x14ac:dyDescent="0.25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35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36"/>
      <c r="AW317" s="36"/>
      <c r="AX317" s="19"/>
      <c r="AY317" s="37"/>
      <c r="AZ317" s="24"/>
      <c r="BA317" s="24"/>
    </row>
    <row r="318" spans="1:53" x14ac:dyDescent="0.2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38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39"/>
      <c r="AW318" s="39"/>
      <c r="AX318" s="26"/>
      <c r="AY318" s="41"/>
      <c r="AZ318" s="31"/>
      <c r="BA318" s="31"/>
    </row>
    <row r="319" spans="1:53" x14ac:dyDescent="0.25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35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36"/>
      <c r="AW319" s="36"/>
      <c r="AX319" s="19"/>
      <c r="AY319" s="37"/>
      <c r="AZ319" s="24"/>
      <c r="BA319" s="24"/>
    </row>
    <row r="320" spans="1:53" x14ac:dyDescent="0.2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38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39"/>
      <c r="AW320" s="39"/>
      <c r="AX320" s="26"/>
      <c r="AY320" s="41"/>
      <c r="AZ320" s="31"/>
      <c r="BA320" s="31"/>
    </row>
    <row r="321" spans="1:53" x14ac:dyDescent="0.25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35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36"/>
      <c r="AW321" s="36"/>
      <c r="AX321" s="19"/>
      <c r="AY321" s="37"/>
      <c r="AZ321" s="24"/>
      <c r="BA321" s="24"/>
    </row>
    <row r="322" spans="1:53" x14ac:dyDescent="0.2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38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39"/>
      <c r="AW322" s="39"/>
      <c r="AX322" s="26"/>
      <c r="AY322" s="41"/>
      <c r="AZ322" s="31"/>
      <c r="BA322" s="31"/>
    </row>
    <row r="323" spans="1:53" x14ac:dyDescent="0.25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35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36"/>
      <c r="AW323" s="36"/>
      <c r="AX323" s="19"/>
      <c r="AY323" s="37"/>
      <c r="AZ323" s="24"/>
      <c r="BA323" s="24"/>
    </row>
    <row r="324" spans="1:53" x14ac:dyDescent="0.2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38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39"/>
      <c r="AW324" s="39"/>
      <c r="AX324" s="26"/>
      <c r="AY324" s="41"/>
      <c r="AZ324" s="31"/>
      <c r="BA324" s="31"/>
    </row>
    <row r="325" spans="1:53" x14ac:dyDescent="0.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35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36"/>
      <c r="AW325" s="36"/>
      <c r="AX325" s="19"/>
      <c r="AY325" s="37"/>
      <c r="AZ325" s="24"/>
      <c r="BA325" s="24"/>
    </row>
    <row r="326" spans="1:53" x14ac:dyDescent="0.2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38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39"/>
      <c r="AW326" s="39"/>
      <c r="AX326" s="26"/>
      <c r="AY326" s="41"/>
      <c r="AZ326" s="31"/>
      <c r="BA326" s="31"/>
    </row>
    <row r="327" spans="1:53" x14ac:dyDescent="0.25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35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36"/>
      <c r="AW327" s="36"/>
      <c r="AX327" s="19"/>
      <c r="AY327" s="37"/>
      <c r="AZ327" s="24"/>
      <c r="BA327" s="24"/>
    </row>
    <row r="328" spans="1:53" x14ac:dyDescent="0.2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38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39"/>
      <c r="AW328" s="39"/>
      <c r="AX328" s="26"/>
      <c r="AY328" s="41"/>
      <c r="AZ328" s="31"/>
      <c r="BA328" s="31"/>
    </row>
    <row r="329" spans="1:53" x14ac:dyDescent="0.25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35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36"/>
      <c r="AW329" s="36"/>
      <c r="AX329" s="19"/>
      <c r="AY329" s="37"/>
      <c r="AZ329" s="24"/>
      <c r="BA329" s="24"/>
    </row>
    <row r="330" spans="1:53" x14ac:dyDescent="0.2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38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39"/>
      <c r="AW330" s="39"/>
      <c r="AX330" s="26"/>
      <c r="AY330" s="41"/>
      <c r="AZ330" s="31"/>
      <c r="BA330" s="31"/>
    </row>
    <row r="331" spans="1:53" x14ac:dyDescent="0.25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35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36"/>
      <c r="AW331" s="36"/>
      <c r="AX331" s="19"/>
      <c r="AY331" s="37"/>
      <c r="AZ331" s="24"/>
      <c r="BA331" s="24"/>
    </row>
    <row r="332" spans="1:53" x14ac:dyDescent="0.2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38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39"/>
      <c r="AW332" s="39"/>
      <c r="AX332" s="26"/>
      <c r="AY332" s="41"/>
      <c r="AZ332" s="31"/>
      <c r="BA332" s="31"/>
    </row>
    <row r="333" spans="1:53" x14ac:dyDescent="0.25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35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36"/>
      <c r="AW333" s="36"/>
      <c r="AX333" s="19"/>
      <c r="AY333" s="37"/>
      <c r="AZ333" s="24"/>
      <c r="BA333" s="24"/>
    </row>
    <row r="334" spans="1:53" x14ac:dyDescent="0.2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38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39"/>
      <c r="AW334" s="39"/>
      <c r="AX334" s="26"/>
      <c r="AY334" s="41"/>
      <c r="AZ334" s="31"/>
      <c r="BA334" s="31"/>
    </row>
    <row r="335" spans="1:53" x14ac:dyDescent="0.2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35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36"/>
      <c r="AW335" s="36"/>
      <c r="AX335" s="19"/>
      <c r="AY335" s="37"/>
      <c r="AZ335" s="24"/>
      <c r="BA335" s="24"/>
    </row>
    <row r="336" spans="1:53" x14ac:dyDescent="0.2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38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39"/>
      <c r="AW336" s="39"/>
      <c r="AX336" s="26"/>
      <c r="AY336" s="41"/>
      <c r="AZ336" s="31"/>
      <c r="BA336" s="31"/>
    </row>
    <row r="337" spans="1:53" x14ac:dyDescent="0.25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35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36"/>
      <c r="AW337" s="36"/>
      <c r="AX337" s="19"/>
      <c r="AY337" s="37"/>
      <c r="AZ337" s="24"/>
      <c r="BA337" s="24"/>
    </row>
    <row r="338" spans="1:53" x14ac:dyDescent="0.2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38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39"/>
      <c r="AW338" s="39"/>
      <c r="AX338" s="26"/>
      <c r="AY338" s="41"/>
      <c r="AZ338" s="31"/>
      <c r="BA338" s="31"/>
    </row>
    <row r="339" spans="1:53" x14ac:dyDescent="0.25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35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36"/>
      <c r="AW339" s="36"/>
      <c r="AX339" s="19"/>
      <c r="AY339" s="37"/>
      <c r="AZ339" s="24"/>
      <c r="BA339" s="24"/>
    </row>
    <row r="340" spans="1:53" x14ac:dyDescent="0.2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38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39"/>
      <c r="AW340" s="39"/>
      <c r="AX340" s="26"/>
      <c r="AY340" s="41"/>
      <c r="AZ340" s="31"/>
      <c r="BA340" s="31"/>
    </row>
    <row r="341" spans="1:53" x14ac:dyDescent="0.25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35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36"/>
      <c r="AW341" s="36"/>
      <c r="AX341" s="19"/>
      <c r="AY341" s="37"/>
      <c r="AZ341" s="24"/>
      <c r="BA341" s="24"/>
    </row>
    <row r="342" spans="1:53" x14ac:dyDescent="0.2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38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39"/>
      <c r="AW342" s="39"/>
      <c r="AX342" s="26"/>
      <c r="AY342" s="41"/>
      <c r="AZ342" s="31"/>
      <c r="BA342" s="31"/>
    </row>
    <row r="343" spans="1:53" x14ac:dyDescent="0.25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35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36"/>
      <c r="AW343" s="36"/>
      <c r="AX343" s="19"/>
      <c r="AY343" s="37"/>
      <c r="AZ343" s="24"/>
      <c r="BA343" s="24"/>
    </row>
    <row r="344" spans="1:53" x14ac:dyDescent="0.2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38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39"/>
      <c r="AW344" s="39"/>
      <c r="AX344" s="26"/>
      <c r="AY344" s="41"/>
      <c r="AZ344" s="31"/>
      <c r="BA344" s="31"/>
    </row>
    <row r="345" spans="1:53" x14ac:dyDescent="0.2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35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36"/>
      <c r="AW345" s="36"/>
      <c r="AX345" s="19"/>
      <c r="AY345" s="37"/>
      <c r="AZ345" s="24"/>
      <c r="BA345" s="24"/>
    </row>
    <row r="346" spans="1:53" x14ac:dyDescent="0.2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38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39"/>
      <c r="AW346" s="39"/>
      <c r="AX346" s="26"/>
      <c r="AY346" s="41"/>
      <c r="AZ346" s="31"/>
      <c r="BA346" s="31"/>
    </row>
    <row r="347" spans="1:53" x14ac:dyDescent="0.25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35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36"/>
      <c r="AW347" s="36"/>
      <c r="AX347" s="19"/>
      <c r="AY347" s="37"/>
      <c r="AZ347" s="24"/>
      <c r="BA347" s="24"/>
    </row>
    <row r="348" spans="1:53" x14ac:dyDescent="0.2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38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39"/>
      <c r="AW348" s="39"/>
      <c r="AX348" s="26"/>
      <c r="AY348" s="41"/>
      <c r="AZ348" s="31"/>
      <c r="BA348" s="31"/>
    </row>
    <row r="349" spans="1:53" x14ac:dyDescent="0.25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35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36"/>
      <c r="AW349" s="36"/>
      <c r="AX349" s="19"/>
      <c r="AY349" s="37"/>
      <c r="AZ349" s="24"/>
      <c r="BA349" s="24"/>
    </row>
    <row r="350" spans="1:53" x14ac:dyDescent="0.2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38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39"/>
      <c r="AW350" s="39"/>
      <c r="AX350" s="26"/>
      <c r="AY350" s="41"/>
      <c r="AZ350" s="31"/>
      <c r="BA350" s="31"/>
    </row>
    <row r="351" spans="1:53" x14ac:dyDescent="0.25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35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36"/>
      <c r="AW351" s="36"/>
      <c r="AX351" s="19"/>
      <c r="AY351" s="37"/>
      <c r="AZ351" s="24"/>
      <c r="BA351" s="24"/>
    </row>
    <row r="352" spans="1:53" x14ac:dyDescent="0.2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38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39"/>
      <c r="AW352" s="39"/>
      <c r="AX352" s="26"/>
      <c r="AY352" s="41"/>
      <c r="AZ352" s="31"/>
      <c r="BA352" s="31"/>
    </row>
    <row r="353" spans="1:53" x14ac:dyDescent="0.25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35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36"/>
      <c r="AW353" s="36"/>
      <c r="AX353" s="19"/>
      <c r="AY353" s="37"/>
      <c r="AZ353" s="24"/>
      <c r="BA353" s="24"/>
    </row>
    <row r="354" spans="1:53" x14ac:dyDescent="0.2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38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39"/>
      <c r="AW354" s="39"/>
      <c r="AX354" s="26"/>
      <c r="AY354" s="41"/>
      <c r="AZ354" s="31"/>
      <c r="BA354" s="31"/>
    </row>
    <row r="355" spans="1:53" x14ac:dyDescent="0.2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35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36"/>
      <c r="AW355" s="36"/>
      <c r="AX355" s="19"/>
      <c r="AY355" s="37"/>
      <c r="AZ355" s="24"/>
      <c r="BA355" s="24"/>
    </row>
    <row r="356" spans="1:53" x14ac:dyDescent="0.2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38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39"/>
      <c r="AW356" s="39"/>
      <c r="AX356" s="26"/>
      <c r="AY356" s="41"/>
      <c r="AZ356" s="31"/>
      <c r="BA356" s="31"/>
    </row>
    <row r="357" spans="1:53" x14ac:dyDescent="0.25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35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36"/>
      <c r="AW357" s="36"/>
      <c r="AX357" s="19"/>
      <c r="AY357" s="37"/>
      <c r="AZ357" s="24"/>
      <c r="BA357" s="24"/>
    </row>
    <row r="358" spans="1:53" x14ac:dyDescent="0.2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38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39"/>
      <c r="AW358" s="39"/>
      <c r="AX358" s="26"/>
      <c r="AY358" s="41"/>
      <c r="AZ358" s="31"/>
      <c r="BA358" s="31"/>
    </row>
    <row r="359" spans="1:53" x14ac:dyDescent="0.25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35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36"/>
      <c r="AW359" s="36"/>
      <c r="AX359" s="19"/>
      <c r="AY359" s="37"/>
      <c r="AZ359" s="24"/>
      <c r="BA359" s="24"/>
    </row>
    <row r="360" spans="1:53" x14ac:dyDescent="0.2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38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39"/>
      <c r="AW360" s="39"/>
      <c r="AX360" s="26"/>
      <c r="AY360" s="41"/>
      <c r="AZ360" s="31"/>
      <c r="BA360" s="31"/>
    </row>
    <row r="361" spans="1:53" x14ac:dyDescent="0.25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35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36"/>
      <c r="AW361" s="36"/>
      <c r="AX361" s="19"/>
      <c r="AY361" s="37"/>
      <c r="AZ361" s="24"/>
      <c r="BA361" s="24"/>
    </row>
    <row r="362" spans="1:53" x14ac:dyDescent="0.2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38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39"/>
      <c r="AW362" s="39"/>
      <c r="AX362" s="26"/>
      <c r="AY362" s="41"/>
      <c r="AZ362" s="31"/>
      <c r="BA362" s="31"/>
    </row>
    <row r="363" spans="1:53" x14ac:dyDescent="0.25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35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36"/>
      <c r="AW363" s="36"/>
      <c r="AX363" s="19"/>
      <c r="AY363" s="37"/>
      <c r="AZ363" s="24"/>
      <c r="BA363" s="24"/>
    </row>
    <row r="364" spans="1:53" x14ac:dyDescent="0.2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38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39"/>
      <c r="AW364" s="39"/>
      <c r="AX364" s="26"/>
      <c r="AY364" s="41"/>
      <c r="AZ364" s="31"/>
      <c r="BA364" s="31"/>
    </row>
    <row r="365" spans="1:53" x14ac:dyDescent="0.2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35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36"/>
      <c r="AW365" s="36"/>
      <c r="AX365" s="19"/>
      <c r="AY365" s="37"/>
      <c r="AZ365" s="24"/>
      <c r="BA365" s="24"/>
    </row>
    <row r="366" spans="1:53" x14ac:dyDescent="0.2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38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39"/>
      <c r="AW366" s="39"/>
      <c r="AX366" s="26"/>
      <c r="AY366" s="41"/>
      <c r="AZ366" s="31"/>
      <c r="BA366" s="31"/>
    </row>
    <row r="367" spans="1:53" x14ac:dyDescent="0.25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35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36"/>
      <c r="AW367" s="36"/>
      <c r="AX367" s="19"/>
      <c r="AY367" s="37"/>
      <c r="AZ367" s="24"/>
      <c r="BA367" s="24"/>
    </row>
    <row r="368" spans="1:53" x14ac:dyDescent="0.2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38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39"/>
      <c r="AW368" s="39"/>
      <c r="AX368" s="26"/>
      <c r="AY368" s="41"/>
      <c r="AZ368" s="31"/>
      <c r="BA368" s="31"/>
    </row>
    <row r="369" spans="1:53" x14ac:dyDescent="0.25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35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36"/>
      <c r="AW369" s="36"/>
      <c r="AX369" s="19"/>
      <c r="AY369" s="37"/>
      <c r="AZ369" s="24"/>
      <c r="BA369" s="24"/>
    </row>
    <row r="370" spans="1:53" x14ac:dyDescent="0.2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38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39"/>
      <c r="AW370" s="39"/>
      <c r="AX370" s="26"/>
      <c r="AY370" s="41"/>
      <c r="AZ370" s="31"/>
      <c r="BA370" s="31"/>
    </row>
    <row r="371" spans="1:53" x14ac:dyDescent="0.25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35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36"/>
      <c r="AW371" s="36"/>
      <c r="AX371" s="19"/>
      <c r="AY371" s="37"/>
      <c r="AZ371" s="24"/>
      <c r="BA371" s="24"/>
    </row>
    <row r="372" spans="1:53" x14ac:dyDescent="0.2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38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39"/>
      <c r="AW372" s="39"/>
      <c r="AX372" s="26"/>
      <c r="AY372" s="41"/>
      <c r="AZ372" s="31"/>
      <c r="BA372" s="31"/>
    </row>
    <row r="373" spans="1:53" x14ac:dyDescent="0.25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35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36"/>
      <c r="AW373" s="36"/>
      <c r="AX373" s="19"/>
      <c r="AY373" s="37"/>
      <c r="AZ373" s="24"/>
      <c r="BA373" s="24"/>
    </row>
    <row r="374" spans="1:53" x14ac:dyDescent="0.2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38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39"/>
      <c r="AW374" s="39"/>
      <c r="AX374" s="26"/>
      <c r="AY374" s="41"/>
      <c r="AZ374" s="31"/>
      <c r="BA374" s="31"/>
    </row>
    <row r="375" spans="1:53" x14ac:dyDescent="0.2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35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36"/>
      <c r="AW375" s="36"/>
      <c r="AX375" s="19"/>
      <c r="AY375" s="37"/>
      <c r="AZ375" s="24"/>
      <c r="BA375" s="24"/>
    </row>
    <row r="376" spans="1:53" x14ac:dyDescent="0.2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38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39"/>
      <c r="AW376" s="39"/>
      <c r="AX376" s="26"/>
      <c r="AY376" s="41"/>
      <c r="AZ376" s="31"/>
      <c r="BA376" s="31"/>
    </row>
    <row r="377" spans="1:53" x14ac:dyDescent="0.25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35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36"/>
      <c r="AW377" s="36"/>
      <c r="AX377" s="19"/>
      <c r="AY377" s="37"/>
      <c r="AZ377" s="24"/>
      <c r="BA377" s="24"/>
    </row>
    <row r="378" spans="1:53" x14ac:dyDescent="0.2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38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39"/>
      <c r="AW378" s="39"/>
      <c r="AX378" s="26"/>
      <c r="AY378" s="41"/>
      <c r="AZ378" s="31"/>
      <c r="BA378" s="31"/>
    </row>
    <row r="379" spans="1:53" x14ac:dyDescent="0.25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35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36"/>
      <c r="AW379" s="36"/>
      <c r="AX379" s="19"/>
      <c r="AY379" s="37"/>
      <c r="AZ379" s="24"/>
      <c r="BA379" s="24"/>
    </row>
    <row r="380" spans="1:53" x14ac:dyDescent="0.2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38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39"/>
      <c r="AW380" s="39"/>
      <c r="AX380" s="26"/>
      <c r="AY380" s="41"/>
      <c r="AZ380" s="31"/>
      <c r="BA380" s="31"/>
    </row>
    <row r="381" spans="1:53" x14ac:dyDescent="0.25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35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36"/>
      <c r="AW381" s="36"/>
      <c r="AX381" s="19"/>
      <c r="AY381" s="37"/>
      <c r="AZ381" s="24"/>
      <c r="BA381" s="24"/>
    </row>
    <row r="382" spans="1:53" x14ac:dyDescent="0.2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38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39"/>
      <c r="AW382" s="39"/>
      <c r="AX382" s="26"/>
      <c r="AY382" s="41"/>
      <c r="AZ382" s="31"/>
      <c r="BA382" s="31"/>
    </row>
    <row r="383" spans="1:53" x14ac:dyDescent="0.25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35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36"/>
      <c r="AW383" s="36"/>
      <c r="AX383" s="19"/>
      <c r="AY383" s="37"/>
      <c r="AZ383" s="24"/>
      <c r="BA383" s="24"/>
    </row>
    <row r="384" spans="1:53" x14ac:dyDescent="0.2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38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39"/>
      <c r="AW384" s="39"/>
      <c r="AX384" s="26"/>
      <c r="AY384" s="41"/>
      <c r="AZ384" s="31"/>
      <c r="BA384" s="31"/>
    </row>
    <row r="385" spans="1:53" x14ac:dyDescent="0.2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35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36"/>
      <c r="AW385" s="36"/>
      <c r="AX385" s="19"/>
      <c r="AY385" s="37"/>
      <c r="AZ385" s="24"/>
      <c r="BA385" s="24"/>
    </row>
    <row r="386" spans="1:53" x14ac:dyDescent="0.2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38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39"/>
      <c r="AW386" s="39"/>
      <c r="AX386" s="26"/>
      <c r="AY386" s="41"/>
      <c r="AZ386" s="31"/>
      <c r="BA386" s="31"/>
    </row>
    <row r="387" spans="1:53" x14ac:dyDescent="0.25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35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36"/>
      <c r="AW387" s="36"/>
      <c r="AX387" s="19"/>
      <c r="AY387" s="37"/>
      <c r="AZ387" s="24"/>
      <c r="BA387" s="24"/>
    </row>
    <row r="388" spans="1:53" x14ac:dyDescent="0.2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38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39"/>
      <c r="AW388" s="39"/>
      <c r="AX388" s="26"/>
      <c r="AY388" s="41"/>
      <c r="AZ388" s="31"/>
      <c r="BA388" s="31"/>
    </row>
    <row r="389" spans="1:53" x14ac:dyDescent="0.25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35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36"/>
      <c r="AW389" s="36"/>
      <c r="AX389" s="19"/>
      <c r="AY389" s="37"/>
      <c r="AZ389" s="24"/>
      <c r="BA389" s="24"/>
    </row>
    <row r="390" spans="1:53" x14ac:dyDescent="0.2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38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39"/>
      <c r="AW390" s="39"/>
      <c r="AX390" s="26"/>
      <c r="AY390" s="41"/>
      <c r="AZ390" s="31"/>
      <c r="BA390" s="31"/>
    </row>
    <row r="391" spans="1:53" x14ac:dyDescent="0.25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35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36"/>
      <c r="AW391" s="36"/>
      <c r="AX391" s="19"/>
      <c r="AY391" s="37"/>
      <c r="AZ391" s="24"/>
      <c r="BA391" s="24"/>
    </row>
    <row r="392" spans="1:53" x14ac:dyDescent="0.2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38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39"/>
      <c r="AW392" s="39"/>
      <c r="AX392" s="26"/>
      <c r="AY392" s="41"/>
      <c r="AZ392" s="31"/>
      <c r="BA392" s="31"/>
    </row>
    <row r="393" spans="1:53" x14ac:dyDescent="0.25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35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36"/>
      <c r="AW393" s="36"/>
      <c r="AX393" s="19"/>
      <c r="AY393" s="37"/>
      <c r="AZ393" s="24"/>
      <c r="BA393" s="24"/>
    </row>
    <row r="394" spans="1:53" x14ac:dyDescent="0.2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38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39"/>
      <c r="AW394" s="39"/>
      <c r="AX394" s="26"/>
      <c r="AY394" s="41"/>
      <c r="AZ394" s="31"/>
      <c r="BA394" s="31"/>
    </row>
    <row r="395" spans="1:53" x14ac:dyDescent="0.2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35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36"/>
      <c r="AW395" s="36"/>
      <c r="AX395" s="19"/>
      <c r="AY395" s="37"/>
      <c r="AZ395" s="24"/>
      <c r="BA395" s="24"/>
    </row>
    <row r="396" spans="1:53" x14ac:dyDescent="0.2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38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39"/>
      <c r="AW396" s="39"/>
      <c r="AX396" s="26"/>
      <c r="AY396" s="41"/>
      <c r="AZ396" s="31"/>
      <c r="BA396" s="31"/>
    </row>
    <row r="397" spans="1:53" x14ac:dyDescent="0.25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35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36"/>
      <c r="AW397" s="36"/>
      <c r="AX397" s="19"/>
      <c r="AY397" s="37"/>
      <c r="AZ397" s="24"/>
      <c r="BA397" s="24"/>
    </row>
    <row r="398" spans="1:53" x14ac:dyDescent="0.2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38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39"/>
      <c r="AW398" s="39"/>
      <c r="AX398" s="26"/>
      <c r="AY398" s="41"/>
      <c r="AZ398" s="31"/>
      <c r="BA398" s="31"/>
    </row>
    <row r="399" spans="1:53" x14ac:dyDescent="0.25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35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36"/>
      <c r="AW399" s="36"/>
      <c r="AX399" s="19"/>
      <c r="AY399" s="37"/>
      <c r="AZ399" s="24"/>
      <c r="BA399" s="24"/>
    </row>
    <row r="400" spans="1:53" x14ac:dyDescent="0.2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38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39"/>
      <c r="AW400" s="39"/>
      <c r="AX400" s="26"/>
      <c r="AY400" s="41"/>
      <c r="AZ400" s="31"/>
      <c r="BA400" s="31"/>
    </row>
    <row r="401" spans="1:53" x14ac:dyDescent="0.25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35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36"/>
      <c r="AW401" s="36"/>
      <c r="AX401" s="19"/>
      <c r="AY401" s="37"/>
      <c r="AZ401" s="24"/>
      <c r="BA401" s="24"/>
    </row>
    <row r="402" spans="1:53" x14ac:dyDescent="0.2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38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39"/>
      <c r="AW402" s="39"/>
      <c r="AX402" s="26"/>
      <c r="AY402" s="41"/>
      <c r="AZ402" s="31"/>
      <c r="BA402" s="31"/>
    </row>
    <row r="403" spans="1:53" x14ac:dyDescent="0.25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35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36"/>
      <c r="AW403" s="36"/>
      <c r="AX403" s="19"/>
      <c r="AY403" s="37"/>
      <c r="AZ403" s="24"/>
      <c r="BA403" s="24"/>
    </row>
    <row r="404" spans="1:53" x14ac:dyDescent="0.2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38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39"/>
      <c r="AW404" s="39"/>
      <c r="AX404" s="26"/>
      <c r="AY404" s="41"/>
      <c r="AZ404" s="31"/>
      <c r="BA404" s="31"/>
    </row>
    <row r="405" spans="1:53" x14ac:dyDescent="0.2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35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36"/>
      <c r="AW405" s="36"/>
      <c r="AX405" s="19"/>
      <c r="AY405" s="37"/>
      <c r="AZ405" s="24"/>
      <c r="BA405" s="24"/>
    </row>
    <row r="406" spans="1:53" x14ac:dyDescent="0.2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38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39"/>
      <c r="AW406" s="39"/>
      <c r="AX406" s="26"/>
      <c r="AY406" s="41"/>
      <c r="AZ406" s="31"/>
      <c r="BA406" s="31"/>
    </row>
    <row r="407" spans="1:53" x14ac:dyDescent="0.25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35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36"/>
      <c r="AW407" s="36"/>
      <c r="AX407" s="19"/>
      <c r="AY407" s="37"/>
      <c r="AZ407" s="24"/>
      <c r="BA407" s="24"/>
    </row>
    <row r="408" spans="1:53" x14ac:dyDescent="0.2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38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39"/>
      <c r="AW408" s="39"/>
      <c r="AX408" s="26"/>
      <c r="AY408" s="41"/>
      <c r="AZ408" s="31"/>
      <c r="BA408" s="31"/>
    </row>
    <row r="409" spans="1:53" x14ac:dyDescent="0.25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35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36"/>
      <c r="AW409" s="36"/>
      <c r="AX409" s="19"/>
      <c r="AY409" s="37"/>
      <c r="AZ409" s="24"/>
      <c r="BA409" s="24"/>
    </row>
    <row r="410" spans="1:53" x14ac:dyDescent="0.2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38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39"/>
      <c r="AW410" s="39"/>
      <c r="AX410" s="26"/>
      <c r="AY410" s="41"/>
      <c r="AZ410" s="31"/>
      <c r="BA410" s="31"/>
    </row>
    <row r="411" spans="1:53" x14ac:dyDescent="0.25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35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36"/>
      <c r="AW411" s="36"/>
      <c r="AX411" s="19"/>
      <c r="AY411" s="37"/>
      <c r="AZ411" s="24"/>
      <c r="BA411" s="24"/>
    </row>
    <row r="412" spans="1:53" x14ac:dyDescent="0.2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38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39"/>
      <c r="AW412" s="39"/>
      <c r="AX412" s="26"/>
      <c r="AY412" s="41"/>
      <c r="AZ412" s="31"/>
      <c r="BA412" s="31"/>
    </row>
    <row r="413" spans="1:53" x14ac:dyDescent="0.25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35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36"/>
      <c r="AW413" s="36"/>
      <c r="AX413" s="19"/>
      <c r="AY413" s="37"/>
      <c r="AZ413" s="24"/>
      <c r="BA413" s="24"/>
    </row>
    <row r="414" spans="1:53" x14ac:dyDescent="0.2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38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39"/>
      <c r="AW414" s="39"/>
      <c r="AX414" s="26"/>
      <c r="AY414" s="41"/>
      <c r="AZ414" s="31"/>
      <c r="BA414" s="31"/>
    </row>
    <row r="415" spans="1:53" x14ac:dyDescent="0.2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35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36"/>
      <c r="AW415" s="36"/>
      <c r="AX415" s="19"/>
      <c r="AY415" s="37"/>
      <c r="AZ415" s="24"/>
      <c r="BA415" s="24"/>
    </row>
    <row r="416" spans="1:53" x14ac:dyDescent="0.2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38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39"/>
      <c r="AW416" s="39"/>
      <c r="AX416" s="26"/>
      <c r="AY416" s="41"/>
      <c r="AZ416" s="31"/>
      <c r="BA416" s="31"/>
    </row>
    <row r="417" spans="1:53" x14ac:dyDescent="0.25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35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36"/>
      <c r="AW417" s="36"/>
      <c r="AX417" s="19"/>
      <c r="AY417" s="37"/>
      <c r="AZ417" s="24"/>
      <c r="BA417" s="24"/>
    </row>
    <row r="418" spans="1:53" x14ac:dyDescent="0.2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38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39"/>
      <c r="AW418" s="39"/>
      <c r="AX418" s="26"/>
      <c r="AY418" s="41"/>
      <c r="AZ418" s="31"/>
      <c r="BA418" s="31"/>
    </row>
    <row r="419" spans="1:53" x14ac:dyDescent="0.25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35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36"/>
      <c r="AW419" s="36"/>
      <c r="AX419" s="19"/>
      <c r="AY419" s="37"/>
      <c r="AZ419" s="24"/>
      <c r="BA419" s="24"/>
    </row>
    <row r="420" spans="1:53" x14ac:dyDescent="0.25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38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39"/>
      <c r="AW420" s="39"/>
      <c r="AX420" s="26"/>
      <c r="AY420" s="41"/>
      <c r="AZ420" s="31"/>
      <c r="BA420" s="31"/>
    </row>
    <row r="421" spans="1:53" x14ac:dyDescent="0.25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35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36"/>
      <c r="AW421" s="36"/>
      <c r="AX421" s="19"/>
      <c r="AY421" s="37"/>
      <c r="AZ421" s="24"/>
      <c r="BA421" s="24"/>
    </row>
    <row r="422" spans="1:53" x14ac:dyDescent="0.25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38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39"/>
      <c r="AW422" s="39"/>
      <c r="AX422" s="26"/>
      <c r="AY422" s="41"/>
      <c r="AZ422" s="31"/>
      <c r="BA422" s="31"/>
    </row>
    <row r="423" spans="1:53" x14ac:dyDescent="0.25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35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36"/>
      <c r="AW423" s="36"/>
      <c r="AX423" s="19"/>
      <c r="AY423" s="37"/>
      <c r="AZ423" s="24"/>
      <c r="BA423" s="24"/>
    </row>
    <row r="424" spans="1:53" x14ac:dyDescent="0.25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38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39"/>
      <c r="AW424" s="39"/>
      <c r="AX424" s="26"/>
      <c r="AY424" s="41"/>
      <c r="AZ424" s="31"/>
      <c r="BA424" s="31"/>
    </row>
    <row r="425" spans="1:53" x14ac:dyDescent="0.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35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36"/>
      <c r="AW425" s="36"/>
      <c r="AX425" s="19"/>
      <c r="AY425" s="37"/>
      <c r="AZ425" s="24"/>
      <c r="BA425" s="24"/>
    </row>
    <row r="426" spans="1:53" x14ac:dyDescent="0.25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38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39"/>
      <c r="AW426" s="39"/>
      <c r="AX426" s="26"/>
      <c r="AY426" s="41"/>
      <c r="AZ426" s="31"/>
      <c r="BA426" s="31"/>
    </row>
    <row r="427" spans="1:53" x14ac:dyDescent="0.25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35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36"/>
      <c r="AW427" s="36"/>
      <c r="AX427" s="19"/>
      <c r="AY427" s="37"/>
      <c r="AZ427" s="24"/>
      <c r="BA427" s="24"/>
    </row>
    <row r="428" spans="1:53" x14ac:dyDescent="0.25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38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39"/>
      <c r="AW428" s="39"/>
      <c r="AX428" s="26"/>
      <c r="AY428" s="41"/>
      <c r="AZ428" s="31"/>
      <c r="BA428" s="31"/>
    </row>
    <row r="429" spans="1:53" x14ac:dyDescent="0.25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35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36"/>
      <c r="AW429" s="36"/>
      <c r="AX429" s="19"/>
      <c r="AY429" s="37"/>
      <c r="AZ429" s="24"/>
      <c r="BA429" s="24"/>
    </row>
    <row r="430" spans="1:53" x14ac:dyDescent="0.25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38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39"/>
      <c r="AW430" s="39"/>
      <c r="AX430" s="26"/>
      <c r="AY430" s="41"/>
      <c r="AZ430" s="31"/>
      <c r="BA430" s="31"/>
    </row>
    <row r="431" spans="1:53" x14ac:dyDescent="0.25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35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36"/>
      <c r="AW431" s="36"/>
      <c r="AX431" s="19"/>
      <c r="AY431" s="37"/>
      <c r="AZ431" s="24"/>
      <c r="BA431" s="24"/>
    </row>
    <row r="432" spans="1:53" x14ac:dyDescent="0.25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38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39"/>
      <c r="AW432" s="39"/>
      <c r="AX432" s="26"/>
      <c r="AY432" s="41"/>
      <c r="AZ432" s="31"/>
      <c r="BA432" s="31"/>
    </row>
    <row r="433" spans="1:53" x14ac:dyDescent="0.25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35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36"/>
      <c r="AW433" s="36"/>
      <c r="AX433" s="19"/>
      <c r="AY433" s="37"/>
      <c r="AZ433" s="24"/>
      <c r="BA433" s="24"/>
    </row>
    <row r="434" spans="1:53" x14ac:dyDescent="0.25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38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39"/>
      <c r="AW434" s="39"/>
      <c r="AX434" s="26"/>
      <c r="AY434" s="41"/>
      <c r="AZ434" s="31"/>
      <c r="BA434" s="31"/>
    </row>
    <row r="435" spans="1:53" x14ac:dyDescent="0.2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35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36"/>
      <c r="AW435" s="36"/>
      <c r="AX435" s="19"/>
      <c r="AY435" s="37"/>
      <c r="AZ435" s="24"/>
      <c r="BA435" s="24"/>
    </row>
    <row r="436" spans="1:53" x14ac:dyDescent="0.25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38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39"/>
      <c r="AW436" s="39"/>
      <c r="AX436" s="26"/>
      <c r="AY436" s="41"/>
      <c r="AZ436" s="31"/>
      <c r="BA436" s="31"/>
    </row>
    <row r="437" spans="1:53" x14ac:dyDescent="0.25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35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36"/>
      <c r="AW437" s="36"/>
      <c r="AX437" s="19"/>
      <c r="AY437" s="37"/>
      <c r="AZ437" s="24"/>
      <c r="BA437" s="24"/>
    </row>
    <row r="438" spans="1:53" x14ac:dyDescent="0.25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38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39"/>
      <c r="AW438" s="39"/>
      <c r="AX438" s="26"/>
      <c r="AY438" s="41"/>
      <c r="AZ438" s="31"/>
      <c r="BA438" s="31"/>
    </row>
    <row r="439" spans="1:53" x14ac:dyDescent="0.25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35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36"/>
      <c r="AW439" s="36"/>
      <c r="AX439" s="19"/>
      <c r="AY439" s="37"/>
      <c r="AZ439" s="24"/>
      <c r="BA439" s="24"/>
    </row>
    <row r="440" spans="1:53" x14ac:dyDescent="0.25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38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39"/>
      <c r="AW440" s="39"/>
      <c r="AX440" s="26"/>
      <c r="AY440" s="41"/>
      <c r="AZ440" s="31"/>
      <c r="BA440" s="31"/>
    </row>
    <row r="441" spans="1:53" x14ac:dyDescent="0.25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35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36"/>
      <c r="AW441" s="36"/>
      <c r="AX441" s="19"/>
      <c r="AY441" s="37"/>
      <c r="AZ441" s="24"/>
      <c r="BA441" s="24"/>
    </row>
    <row r="442" spans="1:53" x14ac:dyDescent="0.25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38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39"/>
      <c r="AW442" s="39"/>
      <c r="AX442" s="26"/>
      <c r="AY442" s="41"/>
      <c r="AZ442" s="31"/>
      <c r="BA442" s="31"/>
    </row>
    <row r="443" spans="1:53" x14ac:dyDescent="0.25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35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36"/>
      <c r="AW443" s="36"/>
      <c r="AX443" s="19"/>
      <c r="AY443" s="37"/>
      <c r="AZ443" s="24"/>
      <c r="BA443" s="24"/>
    </row>
    <row r="444" spans="1:53" x14ac:dyDescent="0.25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38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39"/>
      <c r="AW444" s="39"/>
      <c r="AX444" s="26"/>
      <c r="AY444" s="41"/>
      <c r="AZ444" s="31"/>
      <c r="BA444" s="31"/>
    </row>
    <row r="445" spans="1:53" x14ac:dyDescent="0.2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35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36"/>
      <c r="AW445" s="36"/>
      <c r="AX445" s="19"/>
      <c r="AY445" s="37"/>
      <c r="AZ445" s="24"/>
      <c r="BA445" s="24"/>
    </row>
    <row r="446" spans="1:53" x14ac:dyDescent="0.25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38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39"/>
      <c r="AW446" s="39"/>
      <c r="AX446" s="26"/>
      <c r="AY446" s="41"/>
      <c r="AZ446" s="31"/>
      <c r="BA446" s="31"/>
    </row>
    <row r="447" spans="1:53" x14ac:dyDescent="0.25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35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36"/>
      <c r="AW447" s="36"/>
      <c r="AX447" s="19"/>
      <c r="AY447" s="37"/>
      <c r="AZ447" s="24"/>
      <c r="BA447" s="24"/>
    </row>
    <row r="448" spans="1:53" x14ac:dyDescent="0.25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38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39"/>
      <c r="AW448" s="39"/>
      <c r="AX448" s="26"/>
      <c r="AY448" s="41"/>
      <c r="AZ448" s="31"/>
      <c r="BA448" s="31"/>
    </row>
    <row r="449" spans="1:53" x14ac:dyDescent="0.25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35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36"/>
      <c r="AW449" s="36"/>
      <c r="AX449" s="19"/>
      <c r="AY449" s="37"/>
      <c r="AZ449" s="24"/>
      <c r="BA449" s="24"/>
    </row>
    <row r="450" spans="1:53" x14ac:dyDescent="0.25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38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39"/>
      <c r="AW450" s="39"/>
      <c r="AX450" s="26"/>
      <c r="AY450" s="41"/>
      <c r="AZ450" s="31"/>
      <c r="BA450" s="31"/>
    </row>
    <row r="451" spans="1:53" x14ac:dyDescent="0.25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35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36"/>
      <c r="AW451" s="36"/>
      <c r="AX451" s="19"/>
      <c r="AY451" s="37"/>
      <c r="AZ451" s="24"/>
      <c r="BA451" s="24"/>
    </row>
    <row r="452" spans="1:53" x14ac:dyDescent="0.25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38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39"/>
      <c r="AW452" s="39"/>
      <c r="AX452" s="26"/>
      <c r="AY452" s="41"/>
      <c r="AZ452" s="31"/>
      <c r="BA452" s="31"/>
    </row>
    <row r="453" spans="1:53" x14ac:dyDescent="0.25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35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36"/>
      <c r="AW453" s="36"/>
      <c r="AX453" s="19"/>
      <c r="AY453" s="37"/>
      <c r="AZ453" s="24"/>
      <c r="BA453" s="24"/>
    </row>
    <row r="454" spans="1:53" x14ac:dyDescent="0.25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38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39"/>
      <c r="AW454" s="39"/>
      <c r="AX454" s="26"/>
      <c r="AY454" s="41"/>
      <c r="AZ454" s="31"/>
      <c r="BA454" s="31"/>
    </row>
    <row r="455" spans="1:53" x14ac:dyDescent="0.2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35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36"/>
      <c r="AW455" s="36"/>
      <c r="AX455" s="19"/>
      <c r="AY455" s="37"/>
      <c r="AZ455" s="24"/>
      <c r="BA455" s="24"/>
    </row>
    <row r="456" spans="1:53" x14ac:dyDescent="0.25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38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39"/>
      <c r="AW456" s="39"/>
      <c r="AX456" s="26"/>
      <c r="AY456" s="41"/>
      <c r="AZ456" s="31"/>
      <c r="BA456" s="31"/>
    </row>
    <row r="457" spans="1:53" x14ac:dyDescent="0.25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35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36"/>
      <c r="AW457" s="36"/>
      <c r="AX457" s="19"/>
      <c r="AY457" s="37"/>
      <c r="AZ457" s="24"/>
      <c r="BA457" s="24"/>
    </row>
    <row r="458" spans="1:53" x14ac:dyDescent="0.25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38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39"/>
      <c r="AW458" s="39"/>
      <c r="AX458" s="26"/>
      <c r="AY458" s="41"/>
      <c r="AZ458" s="31"/>
      <c r="BA458" s="31"/>
    </row>
    <row r="459" spans="1:53" x14ac:dyDescent="0.25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35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36"/>
      <c r="AW459" s="36"/>
      <c r="AX459" s="19"/>
      <c r="AY459" s="37"/>
      <c r="AZ459" s="24"/>
      <c r="BA459" s="24"/>
    </row>
    <row r="460" spans="1:53" x14ac:dyDescent="0.25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38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39"/>
      <c r="AW460" s="39"/>
      <c r="AX460" s="26"/>
      <c r="AY460" s="41"/>
      <c r="AZ460" s="31"/>
      <c r="BA460" s="31"/>
    </row>
    <row r="461" spans="1:53" x14ac:dyDescent="0.25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35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36"/>
      <c r="AW461" s="36"/>
      <c r="AX461" s="19"/>
      <c r="AY461" s="37"/>
      <c r="AZ461" s="24"/>
      <c r="BA461" s="24"/>
    </row>
    <row r="462" spans="1:53" x14ac:dyDescent="0.25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38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39"/>
      <c r="AW462" s="39"/>
      <c r="AX462" s="26"/>
      <c r="AY462" s="41"/>
      <c r="AZ462" s="31"/>
      <c r="BA462" s="31"/>
    </row>
    <row r="463" spans="1:53" x14ac:dyDescent="0.25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35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36"/>
      <c r="AW463" s="36"/>
      <c r="AX463" s="19"/>
      <c r="AY463" s="37"/>
      <c r="AZ463" s="24"/>
      <c r="BA463" s="24"/>
    </row>
    <row r="464" spans="1:53" x14ac:dyDescent="0.25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38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39"/>
      <c r="AW464" s="39"/>
      <c r="AX464" s="26"/>
      <c r="AY464" s="41"/>
      <c r="AZ464" s="31"/>
      <c r="BA464" s="31"/>
    </row>
    <row r="465" spans="1:53" x14ac:dyDescent="0.2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35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36"/>
      <c r="AW465" s="36"/>
      <c r="AX465" s="19"/>
      <c r="AY465" s="37"/>
      <c r="AZ465" s="24"/>
      <c r="BA465" s="24"/>
    </row>
    <row r="466" spans="1:53" x14ac:dyDescent="0.25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38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39"/>
      <c r="AW466" s="39"/>
      <c r="AX466" s="26"/>
      <c r="AY466" s="41"/>
      <c r="AZ466" s="31"/>
      <c r="BA466" s="31"/>
    </row>
    <row r="467" spans="1:53" x14ac:dyDescent="0.25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35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36"/>
      <c r="AW467" s="36"/>
      <c r="AX467" s="19"/>
      <c r="AY467" s="37"/>
      <c r="AZ467" s="24"/>
      <c r="BA467" s="24"/>
    </row>
    <row r="468" spans="1:53" x14ac:dyDescent="0.25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38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39"/>
      <c r="AW468" s="39"/>
      <c r="AX468" s="26"/>
      <c r="AY468" s="41"/>
      <c r="AZ468" s="31"/>
      <c r="BA468" s="31"/>
    </row>
    <row r="469" spans="1:53" x14ac:dyDescent="0.25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35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36"/>
      <c r="AW469" s="36"/>
      <c r="AX469" s="19"/>
      <c r="AY469" s="37"/>
      <c r="AZ469" s="24"/>
      <c r="BA469" s="24"/>
    </row>
    <row r="470" spans="1:53" x14ac:dyDescent="0.25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38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39"/>
      <c r="AW470" s="39"/>
      <c r="AX470" s="26"/>
      <c r="AY470" s="41"/>
      <c r="AZ470" s="31"/>
      <c r="BA470" s="31"/>
    </row>
    <row r="471" spans="1:53" x14ac:dyDescent="0.25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35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36"/>
      <c r="AW471" s="36"/>
      <c r="AX471" s="19"/>
      <c r="AY471" s="37"/>
      <c r="AZ471" s="24"/>
      <c r="BA471" s="24"/>
    </row>
    <row r="472" spans="1:53" x14ac:dyDescent="0.25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38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39"/>
      <c r="AW472" s="39"/>
      <c r="AX472" s="26"/>
      <c r="AY472" s="41"/>
      <c r="AZ472" s="31"/>
      <c r="BA472" s="31"/>
    </row>
    <row r="473" spans="1:53" x14ac:dyDescent="0.25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35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36"/>
      <c r="AW473" s="36"/>
      <c r="AX473" s="19"/>
      <c r="AY473" s="37"/>
      <c r="AZ473" s="24"/>
      <c r="BA473" s="24"/>
    </row>
    <row r="474" spans="1:53" x14ac:dyDescent="0.25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38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39"/>
      <c r="AW474" s="39"/>
      <c r="AX474" s="26"/>
      <c r="AY474" s="41"/>
      <c r="AZ474" s="31"/>
      <c r="BA474" s="31"/>
    </row>
    <row r="475" spans="1:53" x14ac:dyDescent="0.2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35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36"/>
      <c r="AW475" s="36"/>
      <c r="AX475" s="19"/>
      <c r="AY475" s="37"/>
      <c r="AZ475" s="24"/>
      <c r="BA475" s="24"/>
    </row>
    <row r="476" spans="1:53" x14ac:dyDescent="0.25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38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39"/>
      <c r="AW476" s="39"/>
      <c r="AX476" s="26"/>
      <c r="AY476" s="41"/>
      <c r="AZ476" s="31"/>
      <c r="BA476" s="31"/>
    </row>
    <row r="477" spans="1:53" x14ac:dyDescent="0.25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35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36"/>
      <c r="AW477" s="36"/>
      <c r="AX477" s="19"/>
      <c r="AY477" s="37"/>
      <c r="AZ477" s="24"/>
      <c r="BA477" s="24"/>
    </row>
    <row r="478" spans="1:53" x14ac:dyDescent="0.25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38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39"/>
      <c r="AW478" s="39"/>
      <c r="AX478" s="26"/>
      <c r="AY478" s="41"/>
      <c r="AZ478" s="31"/>
      <c r="BA478" s="31"/>
    </row>
    <row r="479" spans="1:53" x14ac:dyDescent="0.25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35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36"/>
      <c r="AW479" s="36"/>
      <c r="AX479" s="19"/>
      <c r="AY479" s="37"/>
      <c r="AZ479" s="24"/>
      <c r="BA479" s="24"/>
    </row>
    <row r="480" spans="1:53" x14ac:dyDescent="0.25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38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39"/>
      <c r="AW480" s="39"/>
      <c r="AX480" s="26"/>
      <c r="AY480" s="41"/>
      <c r="AZ480" s="31"/>
      <c r="BA480" s="31"/>
    </row>
    <row r="481" spans="1:53" x14ac:dyDescent="0.25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35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36"/>
      <c r="AW481" s="36"/>
      <c r="AX481" s="19"/>
      <c r="AY481" s="37"/>
      <c r="AZ481" s="24"/>
      <c r="BA481" s="24"/>
    </row>
    <row r="482" spans="1:53" x14ac:dyDescent="0.25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38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39"/>
      <c r="AW482" s="39"/>
      <c r="AX482" s="26"/>
      <c r="AY482" s="41"/>
      <c r="AZ482" s="31"/>
      <c r="BA482" s="31"/>
    </row>
    <row r="483" spans="1:53" x14ac:dyDescent="0.25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35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36"/>
      <c r="AW483" s="36"/>
      <c r="AX483" s="19"/>
      <c r="AY483" s="37"/>
      <c r="AZ483" s="24"/>
      <c r="BA483" s="24"/>
    </row>
    <row r="484" spans="1:53" x14ac:dyDescent="0.25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38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39"/>
      <c r="AW484" s="39"/>
      <c r="AX484" s="26"/>
      <c r="AY484" s="41"/>
      <c r="AZ484" s="31"/>
      <c r="BA484" s="31"/>
    </row>
    <row r="485" spans="1:53" x14ac:dyDescent="0.2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35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36"/>
      <c r="AW485" s="36"/>
      <c r="AX485" s="19"/>
      <c r="AY485" s="37"/>
      <c r="AZ485" s="24"/>
      <c r="BA485" s="24"/>
    </row>
    <row r="486" spans="1:53" x14ac:dyDescent="0.25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38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39"/>
      <c r="AW486" s="39"/>
      <c r="AX486" s="26"/>
      <c r="AY486" s="41"/>
      <c r="AZ486" s="31"/>
      <c r="BA486" s="31"/>
    </row>
    <row r="487" spans="1:53" x14ac:dyDescent="0.25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35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36"/>
      <c r="AW487" s="36"/>
      <c r="AX487" s="19"/>
      <c r="AY487" s="37"/>
      <c r="AZ487" s="24"/>
      <c r="BA487" s="24"/>
    </row>
    <row r="488" spans="1:53" x14ac:dyDescent="0.25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38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39"/>
      <c r="AW488" s="39"/>
      <c r="AX488" s="26"/>
      <c r="AY488" s="41"/>
      <c r="AZ488" s="31"/>
      <c r="BA488" s="31"/>
    </row>
    <row r="489" spans="1:53" x14ac:dyDescent="0.25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35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36"/>
      <c r="AW489" s="36"/>
      <c r="AX489" s="19"/>
      <c r="AY489" s="37"/>
      <c r="AZ489" s="24"/>
      <c r="BA489" s="24"/>
    </row>
    <row r="490" spans="1:53" x14ac:dyDescent="0.25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38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39"/>
      <c r="AW490" s="39"/>
      <c r="AX490" s="26"/>
      <c r="AY490" s="41"/>
      <c r="AZ490" s="31"/>
      <c r="BA490" s="31"/>
    </row>
    <row r="491" spans="1:53" x14ac:dyDescent="0.25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35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36"/>
      <c r="AW491" s="36"/>
      <c r="AX491" s="19"/>
      <c r="AY491" s="37"/>
      <c r="AZ491" s="24"/>
      <c r="BA491" s="24"/>
    </row>
    <row r="492" spans="1:53" x14ac:dyDescent="0.25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38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39"/>
      <c r="AW492" s="39"/>
      <c r="AX492" s="26"/>
      <c r="AY492" s="41"/>
      <c r="AZ492" s="31"/>
      <c r="BA492" s="31"/>
    </row>
    <row r="493" spans="1:53" x14ac:dyDescent="0.25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35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36"/>
      <c r="AW493" s="36"/>
      <c r="AX493" s="19"/>
      <c r="AY493" s="37"/>
      <c r="AZ493" s="24"/>
      <c r="BA493" s="24"/>
    </row>
    <row r="494" spans="1:53" x14ac:dyDescent="0.25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38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39"/>
      <c r="AW494" s="39"/>
      <c r="AX494" s="26"/>
      <c r="AY494" s="41"/>
      <c r="AZ494" s="31"/>
      <c r="BA494" s="31"/>
    </row>
    <row r="495" spans="1:53" x14ac:dyDescent="0.2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35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36"/>
      <c r="AW495" s="36"/>
      <c r="AX495" s="19"/>
      <c r="AY495" s="37"/>
      <c r="AZ495" s="24"/>
      <c r="BA495" s="24"/>
    </row>
    <row r="496" spans="1:53" x14ac:dyDescent="0.25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38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39"/>
      <c r="AW496" s="39"/>
      <c r="AX496" s="26"/>
      <c r="AY496" s="41"/>
      <c r="AZ496" s="31"/>
      <c r="BA496" s="31"/>
    </row>
    <row r="497" spans="1:53" x14ac:dyDescent="0.25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35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36"/>
      <c r="AW497" s="36"/>
      <c r="AX497" s="19"/>
      <c r="AY497" s="37"/>
      <c r="AZ497" s="24"/>
      <c r="BA497" s="24"/>
    </row>
    <row r="498" spans="1:53" x14ac:dyDescent="0.25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38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39"/>
      <c r="AW498" s="39"/>
      <c r="AX498" s="26"/>
      <c r="AY498" s="41"/>
      <c r="AZ498" s="31"/>
      <c r="BA498" s="31"/>
    </row>
    <row r="499" spans="1:53" x14ac:dyDescent="0.25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35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36"/>
      <c r="AW499" s="36"/>
      <c r="AX499" s="19"/>
      <c r="AY499" s="37"/>
      <c r="AZ499" s="24"/>
      <c r="BA499" s="24"/>
    </row>
    <row r="500" spans="1:53" x14ac:dyDescent="0.25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38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39"/>
      <c r="AW500" s="39"/>
      <c r="AX500" s="26"/>
      <c r="AY500" s="41"/>
      <c r="AZ500" s="31"/>
      <c r="BA500" s="31"/>
    </row>
    <row r="501" spans="1:53" x14ac:dyDescent="0.25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35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36"/>
      <c r="AW501" s="36"/>
      <c r="AX501" s="19"/>
      <c r="AY501" s="37"/>
      <c r="AZ501" s="24"/>
      <c r="BA501" s="24"/>
    </row>
    <row r="502" spans="1:53" x14ac:dyDescent="0.25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38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39"/>
      <c r="AW502" s="39"/>
      <c r="AX502" s="26"/>
      <c r="AY502" s="41"/>
      <c r="AZ502" s="31"/>
      <c r="BA502" s="31"/>
    </row>
    <row r="503" spans="1:53" x14ac:dyDescent="0.25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35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36"/>
      <c r="AW503" s="36"/>
      <c r="AX503" s="19"/>
      <c r="AY503" s="37"/>
      <c r="AZ503" s="24"/>
      <c r="BA503" s="24"/>
    </row>
    <row r="504" spans="1:53" x14ac:dyDescent="0.25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38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39"/>
      <c r="AW504" s="39"/>
      <c r="AX504" s="26"/>
      <c r="AY504" s="41"/>
      <c r="AZ504" s="31"/>
      <c r="BA504" s="31"/>
    </row>
    <row r="505" spans="1:53" x14ac:dyDescent="0.2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35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36"/>
      <c r="AW505" s="36"/>
      <c r="AX505" s="19"/>
      <c r="AY505" s="37"/>
      <c r="AZ505" s="24"/>
      <c r="BA505" s="24"/>
    </row>
    <row r="506" spans="1:53" x14ac:dyDescent="0.25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38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39"/>
      <c r="AW506" s="39"/>
      <c r="AX506" s="26"/>
      <c r="AY506" s="41"/>
      <c r="AZ506" s="31"/>
      <c r="BA506" s="31"/>
    </row>
    <row r="507" spans="1:53" x14ac:dyDescent="0.25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35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36"/>
      <c r="AW507" s="36"/>
      <c r="AX507" s="19"/>
      <c r="AY507" s="37"/>
      <c r="AZ507" s="24"/>
      <c r="BA507" s="24"/>
    </row>
    <row r="508" spans="1:53" x14ac:dyDescent="0.25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38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39"/>
      <c r="AW508" s="39"/>
      <c r="AX508" s="26"/>
      <c r="AY508" s="41"/>
      <c r="AZ508" s="31"/>
      <c r="BA508" s="31"/>
    </row>
    <row r="509" spans="1:53" x14ac:dyDescent="0.25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35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36"/>
      <c r="AW509" s="36"/>
      <c r="AX509" s="19"/>
      <c r="AY509" s="37"/>
      <c r="AZ509" s="24"/>
      <c r="BA509" s="24"/>
    </row>
    <row r="510" spans="1:53" x14ac:dyDescent="0.25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38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39"/>
      <c r="AW510" s="39"/>
      <c r="AX510" s="26"/>
      <c r="AY510" s="41"/>
      <c r="AZ510" s="31"/>
      <c r="BA510" s="31"/>
    </row>
    <row r="511" spans="1:53" x14ac:dyDescent="0.25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35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36"/>
      <c r="AW511" s="36"/>
      <c r="AX511" s="19"/>
      <c r="AY511" s="37"/>
      <c r="AZ511" s="24"/>
      <c r="BA511" s="24"/>
    </row>
    <row r="512" spans="1:53" x14ac:dyDescent="0.25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38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39"/>
      <c r="AW512" s="39"/>
      <c r="AX512" s="26"/>
      <c r="AY512" s="41"/>
      <c r="AZ512" s="31"/>
      <c r="BA512" s="31"/>
    </row>
    <row r="513" spans="1:53" x14ac:dyDescent="0.25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35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36"/>
      <c r="AW513" s="36"/>
      <c r="AX513" s="19"/>
      <c r="AY513" s="37"/>
      <c r="AZ513" s="24"/>
      <c r="BA513" s="24"/>
    </row>
    <row r="514" spans="1:53" x14ac:dyDescent="0.25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38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39"/>
      <c r="AW514" s="39"/>
      <c r="AX514" s="26"/>
      <c r="AY514" s="41"/>
      <c r="AZ514" s="31"/>
      <c r="BA514" s="31"/>
    </row>
    <row r="515" spans="1:53" x14ac:dyDescent="0.2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35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36"/>
      <c r="AW515" s="36"/>
      <c r="AX515" s="19"/>
      <c r="AY515" s="37"/>
      <c r="AZ515" s="24"/>
      <c r="BA515" s="24"/>
    </row>
    <row r="516" spans="1:53" x14ac:dyDescent="0.25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38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39"/>
      <c r="AW516" s="39"/>
      <c r="AX516" s="26"/>
      <c r="AY516" s="41"/>
      <c r="AZ516" s="31"/>
      <c r="BA516" s="31"/>
    </row>
    <row r="517" spans="1:53" x14ac:dyDescent="0.25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35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36"/>
      <c r="AW517" s="36"/>
      <c r="AX517" s="19"/>
      <c r="AY517" s="37"/>
      <c r="AZ517" s="24"/>
      <c r="BA517" s="24"/>
    </row>
    <row r="518" spans="1:53" x14ac:dyDescent="0.25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38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39"/>
      <c r="AW518" s="39"/>
      <c r="AX518" s="26"/>
      <c r="AY518" s="41"/>
      <c r="AZ518" s="31"/>
      <c r="BA518" s="31"/>
    </row>
    <row r="519" spans="1:53" x14ac:dyDescent="0.25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35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36"/>
      <c r="AW519" s="36"/>
      <c r="AX519" s="19"/>
      <c r="AY519" s="37"/>
      <c r="AZ519" s="24"/>
      <c r="BA519" s="24"/>
    </row>
    <row r="520" spans="1:53" x14ac:dyDescent="0.25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38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39"/>
      <c r="AW520" s="39"/>
      <c r="AX520" s="26"/>
      <c r="AY520" s="41"/>
      <c r="AZ520" s="31"/>
      <c r="BA520" s="31"/>
    </row>
    <row r="521" spans="1:53" x14ac:dyDescent="0.25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35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36"/>
      <c r="AW521" s="36"/>
      <c r="AX521" s="19"/>
      <c r="AY521" s="37"/>
      <c r="AZ521" s="24"/>
      <c r="BA521" s="24"/>
    </row>
    <row r="522" spans="1:53" x14ac:dyDescent="0.25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38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39"/>
      <c r="AW522" s="39"/>
      <c r="AX522" s="26"/>
      <c r="AY522" s="41"/>
      <c r="AZ522" s="31"/>
      <c r="BA522" s="31"/>
    </row>
    <row r="523" spans="1:53" x14ac:dyDescent="0.25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35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36"/>
      <c r="AW523" s="36"/>
      <c r="AX523" s="19"/>
      <c r="AY523" s="37"/>
      <c r="AZ523" s="24"/>
      <c r="BA523" s="24"/>
    </row>
    <row r="524" spans="1:53" x14ac:dyDescent="0.25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38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39"/>
      <c r="AW524" s="39"/>
      <c r="AX524" s="26"/>
      <c r="AY524" s="41"/>
      <c r="AZ524" s="31"/>
      <c r="BA524" s="31"/>
    </row>
    <row r="525" spans="1:53" x14ac:dyDescent="0.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35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36"/>
      <c r="AW525" s="36"/>
      <c r="AX525" s="19"/>
      <c r="AY525" s="37"/>
      <c r="AZ525" s="24"/>
      <c r="BA525" s="24"/>
    </row>
    <row r="526" spans="1:53" x14ac:dyDescent="0.25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38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39"/>
      <c r="AW526" s="39"/>
      <c r="AX526" s="26"/>
      <c r="AY526" s="41"/>
      <c r="AZ526" s="31"/>
      <c r="BA526" s="31"/>
    </row>
    <row r="527" spans="1:53" x14ac:dyDescent="0.25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35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36"/>
      <c r="AW527" s="36"/>
      <c r="AX527" s="19"/>
      <c r="AY527" s="37"/>
      <c r="AZ527" s="24"/>
      <c r="BA527" s="24"/>
    </row>
    <row r="528" spans="1:53" x14ac:dyDescent="0.25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38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39"/>
      <c r="AW528" s="39"/>
      <c r="AX528" s="26"/>
      <c r="AY528" s="41"/>
      <c r="AZ528" s="31"/>
      <c r="BA528" s="31"/>
    </row>
    <row r="529" spans="1:53" x14ac:dyDescent="0.25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35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36"/>
      <c r="AW529" s="36"/>
      <c r="AX529" s="19"/>
      <c r="AY529" s="37"/>
      <c r="AZ529" s="24"/>
      <c r="BA529" s="24"/>
    </row>
    <row r="530" spans="1:53" x14ac:dyDescent="0.25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38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39"/>
      <c r="AW530" s="39"/>
      <c r="AX530" s="26"/>
      <c r="AY530" s="41"/>
      <c r="AZ530" s="31"/>
      <c r="BA530" s="31"/>
    </row>
    <row r="531" spans="1:53" x14ac:dyDescent="0.25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35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36"/>
      <c r="AW531" s="36"/>
      <c r="AX531" s="19"/>
      <c r="AY531" s="37"/>
      <c r="AZ531" s="24"/>
      <c r="BA531" s="24"/>
    </row>
    <row r="532" spans="1:53" x14ac:dyDescent="0.25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38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39"/>
      <c r="AW532" s="39"/>
      <c r="AX532" s="26"/>
      <c r="AY532" s="41"/>
      <c r="AZ532" s="31"/>
      <c r="BA532" s="31"/>
    </row>
    <row r="533" spans="1:53" x14ac:dyDescent="0.25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35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36"/>
      <c r="AW533" s="36"/>
      <c r="AX533" s="19"/>
      <c r="AY533" s="37"/>
      <c r="AZ533" s="24"/>
      <c r="BA533" s="24"/>
    </row>
    <row r="534" spans="1:53" x14ac:dyDescent="0.25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38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39"/>
      <c r="AW534" s="39"/>
      <c r="AX534" s="26"/>
      <c r="AY534" s="41"/>
      <c r="AZ534" s="31"/>
      <c r="BA534" s="31"/>
    </row>
    <row r="535" spans="1:53" x14ac:dyDescent="0.2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35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36"/>
      <c r="AW535" s="36"/>
      <c r="AX535" s="19"/>
      <c r="AY535" s="37"/>
      <c r="AZ535" s="24"/>
      <c r="BA535" s="24"/>
    </row>
    <row r="536" spans="1:53" x14ac:dyDescent="0.25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38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39"/>
      <c r="AW536" s="39"/>
      <c r="AX536" s="26"/>
      <c r="AY536" s="41"/>
      <c r="AZ536" s="31"/>
      <c r="BA536" s="31"/>
    </row>
    <row r="537" spans="1:53" x14ac:dyDescent="0.25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35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36"/>
      <c r="AW537" s="36"/>
      <c r="AX537" s="19"/>
      <c r="AY537" s="37"/>
      <c r="AZ537" s="24"/>
      <c r="BA537" s="24"/>
    </row>
    <row r="538" spans="1:53" x14ac:dyDescent="0.25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38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39"/>
      <c r="AW538" s="39"/>
      <c r="AX538" s="26"/>
      <c r="AY538" s="41"/>
      <c r="AZ538" s="31"/>
      <c r="BA538" s="31"/>
    </row>
    <row r="539" spans="1:53" x14ac:dyDescent="0.25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35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36"/>
      <c r="AW539" s="36"/>
      <c r="AX539" s="19"/>
      <c r="AY539" s="37"/>
      <c r="AZ539" s="24"/>
      <c r="BA539" s="24"/>
    </row>
    <row r="540" spans="1:53" x14ac:dyDescent="0.25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38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39"/>
      <c r="AW540" s="39"/>
      <c r="AX540" s="26"/>
      <c r="AY540" s="41"/>
      <c r="AZ540" s="31"/>
      <c r="BA540" s="31"/>
    </row>
    <row r="541" spans="1:53" x14ac:dyDescent="0.25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35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36"/>
      <c r="AW541" s="36"/>
      <c r="AX541" s="19"/>
      <c r="AY541" s="37"/>
      <c r="AZ541" s="24"/>
      <c r="BA541" s="24"/>
    </row>
    <row r="542" spans="1:53" x14ac:dyDescent="0.25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38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39"/>
      <c r="AW542" s="39"/>
      <c r="AX542" s="26"/>
      <c r="AY542" s="41"/>
      <c r="AZ542" s="31"/>
      <c r="BA542" s="31"/>
    </row>
    <row r="543" spans="1:53" x14ac:dyDescent="0.25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35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36"/>
      <c r="AW543" s="36"/>
      <c r="AX543" s="19"/>
      <c r="AY543" s="37"/>
      <c r="AZ543" s="24"/>
      <c r="BA543" s="24"/>
    </row>
    <row r="544" spans="1:53" x14ac:dyDescent="0.25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38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39"/>
      <c r="AW544" s="39"/>
      <c r="AX544" s="26"/>
      <c r="AY544" s="41"/>
      <c r="AZ544" s="31"/>
      <c r="BA544" s="31"/>
    </row>
    <row r="545" spans="1:53" x14ac:dyDescent="0.2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35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36"/>
      <c r="AW545" s="36"/>
      <c r="AX545" s="19"/>
      <c r="AY545" s="37"/>
      <c r="AZ545" s="24"/>
      <c r="BA545" s="24"/>
    </row>
    <row r="546" spans="1:53" x14ac:dyDescent="0.25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38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39"/>
      <c r="AW546" s="39"/>
      <c r="AX546" s="26"/>
      <c r="AY546" s="41"/>
      <c r="AZ546" s="31"/>
      <c r="BA546" s="31"/>
    </row>
    <row r="547" spans="1:53" x14ac:dyDescent="0.25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35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36"/>
      <c r="AW547" s="36"/>
      <c r="AX547" s="19"/>
      <c r="AY547" s="37"/>
      <c r="AZ547" s="24"/>
      <c r="BA547" s="24"/>
    </row>
    <row r="548" spans="1:53" x14ac:dyDescent="0.25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38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39"/>
      <c r="AW548" s="39"/>
      <c r="AX548" s="26"/>
      <c r="AY548" s="41"/>
      <c r="AZ548" s="31"/>
      <c r="BA548" s="31"/>
    </row>
    <row r="549" spans="1:53" x14ac:dyDescent="0.25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35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36"/>
      <c r="AW549" s="36"/>
      <c r="AX549" s="19"/>
      <c r="AY549" s="37"/>
      <c r="AZ549" s="24"/>
      <c r="BA549" s="24"/>
    </row>
    <row r="550" spans="1:53" x14ac:dyDescent="0.25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38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39"/>
      <c r="AW550" s="39"/>
      <c r="AX550" s="26"/>
      <c r="AY550" s="41"/>
      <c r="AZ550" s="31"/>
      <c r="BA550" s="31"/>
    </row>
    <row r="551" spans="1:53" x14ac:dyDescent="0.25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35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36"/>
      <c r="AW551" s="36"/>
      <c r="AX551" s="19"/>
      <c r="AY551" s="37"/>
      <c r="AZ551" s="24"/>
      <c r="BA551" s="24"/>
    </row>
    <row r="552" spans="1:53" x14ac:dyDescent="0.25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38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39"/>
      <c r="AW552" s="39"/>
      <c r="AX552" s="26"/>
      <c r="AY552" s="41"/>
      <c r="AZ552" s="31"/>
      <c r="BA552" s="31"/>
    </row>
    <row r="553" spans="1:53" x14ac:dyDescent="0.25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35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36"/>
      <c r="AW553" s="36"/>
      <c r="AX553" s="19"/>
      <c r="AY553" s="37"/>
      <c r="AZ553" s="24"/>
      <c r="BA553" s="24"/>
    </row>
    <row r="554" spans="1:53" x14ac:dyDescent="0.25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38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39"/>
      <c r="AW554" s="39"/>
      <c r="AX554" s="26"/>
      <c r="AY554" s="41"/>
      <c r="AZ554" s="31"/>
      <c r="BA554" s="31"/>
    </row>
    <row r="555" spans="1:53" x14ac:dyDescent="0.2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35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36"/>
      <c r="AW555" s="36"/>
      <c r="AX555" s="19"/>
      <c r="AY555" s="37"/>
      <c r="AZ555" s="24"/>
      <c r="BA555" s="24"/>
    </row>
    <row r="556" spans="1:53" x14ac:dyDescent="0.25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38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39"/>
      <c r="AW556" s="39"/>
      <c r="AX556" s="26"/>
      <c r="AY556" s="41"/>
      <c r="AZ556" s="31"/>
      <c r="BA556" s="31"/>
    </row>
    <row r="557" spans="1:53" x14ac:dyDescent="0.25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35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36"/>
      <c r="AW557" s="36"/>
      <c r="AX557" s="19"/>
      <c r="AY557" s="37"/>
      <c r="AZ557" s="24"/>
      <c r="BA557" s="24"/>
    </row>
    <row r="558" spans="1:53" x14ac:dyDescent="0.25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38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39"/>
      <c r="AW558" s="39"/>
      <c r="AX558" s="26"/>
      <c r="AY558" s="41"/>
      <c r="AZ558" s="31"/>
      <c r="BA558" s="31"/>
    </row>
    <row r="559" spans="1:53" x14ac:dyDescent="0.25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35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36"/>
      <c r="AW559" s="36"/>
      <c r="AX559" s="19"/>
      <c r="AY559" s="37"/>
      <c r="AZ559" s="24"/>
      <c r="BA559" s="24"/>
    </row>
    <row r="560" spans="1:53" x14ac:dyDescent="0.25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38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39"/>
      <c r="AW560" s="39"/>
      <c r="AX560" s="26"/>
      <c r="AY560" s="41"/>
      <c r="AZ560" s="31"/>
      <c r="BA560" s="31"/>
    </row>
    <row r="561" spans="1:53" x14ac:dyDescent="0.25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35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36"/>
      <c r="AW561" s="36"/>
      <c r="AX561" s="19"/>
      <c r="AY561" s="37"/>
      <c r="AZ561" s="24"/>
      <c r="BA561" s="24"/>
    </row>
    <row r="562" spans="1:53" x14ac:dyDescent="0.25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38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39"/>
      <c r="AW562" s="39"/>
      <c r="AX562" s="26"/>
      <c r="AY562" s="41"/>
      <c r="AZ562" s="31"/>
      <c r="BA562" s="31"/>
    </row>
    <row r="563" spans="1:53" x14ac:dyDescent="0.25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35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36"/>
      <c r="AW563" s="36"/>
      <c r="AX563" s="19"/>
      <c r="AY563" s="37"/>
      <c r="AZ563" s="24"/>
      <c r="BA563" s="24"/>
    </row>
    <row r="564" spans="1:53" x14ac:dyDescent="0.25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38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39"/>
      <c r="AW564" s="39"/>
      <c r="AX564" s="26"/>
      <c r="AY564" s="41"/>
      <c r="AZ564" s="31"/>
      <c r="BA564" s="31"/>
    </row>
    <row r="565" spans="1:53" x14ac:dyDescent="0.2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35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36"/>
      <c r="AW565" s="36"/>
      <c r="AX565" s="19"/>
      <c r="AY565" s="37"/>
      <c r="AZ565" s="24"/>
      <c r="BA565" s="24"/>
    </row>
    <row r="566" spans="1:53" x14ac:dyDescent="0.25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38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39"/>
      <c r="AW566" s="39"/>
      <c r="AX566" s="26"/>
      <c r="AY566" s="41"/>
      <c r="AZ566" s="31"/>
      <c r="BA566" s="31"/>
    </row>
    <row r="567" spans="1:53" x14ac:dyDescent="0.25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35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36"/>
      <c r="AW567" s="36"/>
      <c r="AX567" s="19"/>
      <c r="AY567" s="37"/>
      <c r="AZ567" s="24"/>
      <c r="BA567" s="24"/>
    </row>
    <row r="568" spans="1:53" x14ac:dyDescent="0.25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38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39"/>
      <c r="AW568" s="39"/>
      <c r="AX568" s="26"/>
      <c r="AY568" s="41"/>
      <c r="AZ568" s="31"/>
      <c r="BA568" s="31"/>
    </row>
    <row r="569" spans="1:53" x14ac:dyDescent="0.25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35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36"/>
      <c r="AW569" s="36"/>
      <c r="AX569" s="19"/>
      <c r="AY569" s="37"/>
      <c r="AZ569" s="24"/>
      <c r="BA569" s="24"/>
    </row>
    <row r="570" spans="1:53" x14ac:dyDescent="0.25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38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39"/>
      <c r="AW570" s="39"/>
      <c r="AX570" s="26"/>
      <c r="AY570" s="41"/>
      <c r="AZ570" s="31"/>
      <c r="BA570" s="31"/>
    </row>
    <row r="571" spans="1:53" x14ac:dyDescent="0.25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35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36"/>
      <c r="AW571" s="36"/>
      <c r="AX571" s="19"/>
      <c r="AY571" s="37"/>
      <c r="AZ571" s="24"/>
      <c r="BA571" s="24"/>
    </row>
    <row r="572" spans="1:53" x14ac:dyDescent="0.25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38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39"/>
      <c r="AW572" s="39"/>
      <c r="AX572" s="26"/>
      <c r="AY572" s="41"/>
      <c r="AZ572" s="31"/>
      <c r="BA572" s="31"/>
    </row>
    <row r="573" spans="1:53" x14ac:dyDescent="0.25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35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36"/>
      <c r="AW573" s="36"/>
      <c r="AX573" s="19"/>
      <c r="AY573" s="37"/>
      <c r="AZ573" s="24"/>
      <c r="BA573" s="24"/>
    </row>
    <row r="574" spans="1:53" x14ac:dyDescent="0.25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38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39"/>
      <c r="AW574" s="39"/>
      <c r="AX574" s="26"/>
      <c r="AY574" s="41"/>
      <c r="AZ574" s="31"/>
      <c r="BA574" s="31"/>
    </row>
    <row r="575" spans="1:53" x14ac:dyDescent="0.2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35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36"/>
      <c r="AW575" s="36"/>
      <c r="AX575" s="19"/>
      <c r="AY575" s="37"/>
      <c r="AZ575" s="24"/>
      <c r="BA575" s="24"/>
    </row>
    <row r="576" spans="1:53" x14ac:dyDescent="0.25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38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39"/>
      <c r="AW576" s="39"/>
      <c r="AX576" s="26"/>
      <c r="AY576" s="41"/>
      <c r="AZ576" s="31"/>
      <c r="BA576" s="31"/>
    </row>
    <row r="577" spans="1:53" x14ac:dyDescent="0.25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35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36"/>
      <c r="AW577" s="36"/>
      <c r="AX577" s="19"/>
      <c r="AY577" s="37"/>
      <c r="AZ577" s="24"/>
      <c r="BA577" s="24"/>
    </row>
    <row r="578" spans="1:53" x14ac:dyDescent="0.25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38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39"/>
      <c r="AW578" s="39"/>
      <c r="AX578" s="26"/>
      <c r="AY578" s="41"/>
      <c r="AZ578" s="31"/>
      <c r="BA578" s="31"/>
    </row>
    <row r="579" spans="1:53" x14ac:dyDescent="0.25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35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36"/>
      <c r="AW579" s="36"/>
      <c r="AX579" s="19"/>
      <c r="AY579" s="37"/>
      <c r="AZ579" s="24"/>
      <c r="BA579" s="24"/>
    </row>
    <row r="580" spans="1:53" x14ac:dyDescent="0.25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38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39"/>
      <c r="AW580" s="39"/>
      <c r="AX580" s="26"/>
      <c r="AY580" s="41"/>
      <c r="AZ580" s="31"/>
      <c r="BA580" s="31"/>
    </row>
    <row r="581" spans="1:53" x14ac:dyDescent="0.25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35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36"/>
      <c r="AW581" s="36"/>
      <c r="AX581" s="19"/>
      <c r="AY581" s="37"/>
      <c r="AZ581" s="24"/>
      <c r="BA581" s="24"/>
    </row>
    <row r="582" spans="1:53" x14ac:dyDescent="0.25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38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39"/>
      <c r="AW582" s="39"/>
      <c r="AX582" s="26"/>
      <c r="AY582" s="41"/>
      <c r="AZ582" s="31"/>
      <c r="BA582" s="31"/>
    </row>
    <row r="583" spans="1:53" x14ac:dyDescent="0.25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35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36"/>
      <c r="AW583" s="36"/>
      <c r="AX583" s="19"/>
      <c r="AY583" s="37"/>
      <c r="AZ583" s="24"/>
      <c r="BA583" s="24"/>
    </row>
    <row r="584" spans="1:53" x14ac:dyDescent="0.25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38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39"/>
      <c r="AW584" s="39"/>
      <c r="AX584" s="26"/>
      <c r="AY584" s="41"/>
      <c r="AZ584" s="31"/>
      <c r="BA584" s="31"/>
    </row>
    <row r="585" spans="1:53" x14ac:dyDescent="0.2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35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36"/>
      <c r="AW585" s="36"/>
      <c r="AX585" s="19"/>
      <c r="AY585" s="37"/>
      <c r="AZ585" s="24"/>
      <c r="BA585" s="24"/>
    </row>
    <row r="586" spans="1:53" x14ac:dyDescent="0.25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38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39"/>
      <c r="AW586" s="39"/>
      <c r="AX586" s="26"/>
      <c r="AY586" s="41"/>
      <c r="AZ586" s="31"/>
      <c r="BA586" s="31"/>
    </row>
    <row r="587" spans="1:53" x14ac:dyDescent="0.25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35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36"/>
      <c r="AW587" s="36"/>
      <c r="AX587" s="19"/>
      <c r="AY587" s="37"/>
      <c r="AZ587" s="24"/>
      <c r="BA587" s="24"/>
    </row>
    <row r="588" spans="1:53" x14ac:dyDescent="0.25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38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39"/>
      <c r="AW588" s="39"/>
      <c r="AX588" s="26"/>
      <c r="AY588" s="41"/>
      <c r="AZ588" s="31"/>
      <c r="BA588" s="31"/>
    </row>
    <row r="589" spans="1:53" x14ac:dyDescent="0.25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35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36"/>
      <c r="AW589" s="36"/>
      <c r="AX589" s="19"/>
      <c r="AY589" s="37"/>
      <c r="AZ589" s="24"/>
      <c r="BA589" s="24"/>
    </row>
    <row r="590" spans="1:53" x14ac:dyDescent="0.25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38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39"/>
      <c r="AW590" s="39"/>
      <c r="AX590" s="26"/>
      <c r="AY590" s="41"/>
      <c r="AZ590" s="31"/>
      <c r="BA590" s="31"/>
    </row>
    <row r="591" spans="1:53" x14ac:dyDescent="0.25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35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36"/>
      <c r="AW591" s="36"/>
      <c r="AX591" s="19"/>
      <c r="AY591" s="37"/>
      <c r="AZ591" s="24"/>
      <c r="BA591" s="24"/>
    </row>
    <row r="592" spans="1:53" x14ac:dyDescent="0.25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38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39"/>
      <c r="AW592" s="39"/>
      <c r="AX592" s="26"/>
      <c r="AY592" s="41"/>
      <c r="AZ592" s="31"/>
      <c r="BA592" s="31"/>
    </row>
    <row r="593" spans="1:53" x14ac:dyDescent="0.25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35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36"/>
      <c r="AW593" s="36"/>
      <c r="AX593" s="19"/>
      <c r="AY593" s="37"/>
      <c r="AZ593" s="24"/>
      <c r="BA593" s="24"/>
    </row>
    <row r="594" spans="1:53" x14ac:dyDescent="0.25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38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39"/>
      <c r="AW594" s="39"/>
      <c r="AX594" s="26"/>
      <c r="AY594" s="41"/>
      <c r="AZ594" s="31"/>
      <c r="BA594" s="31"/>
    </row>
    <row r="595" spans="1:53" x14ac:dyDescent="0.2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35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36"/>
      <c r="AW595" s="36"/>
      <c r="AX595" s="19"/>
      <c r="AY595" s="37"/>
      <c r="AZ595" s="24"/>
      <c r="BA595" s="24"/>
    </row>
    <row r="596" spans="1:53" x14ac:dyDescent="0.25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38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39"/>
      <c r="AW596" s="39"/>
      <c r="AX596" s="26"/>
      <c r="AY596" s="41"/>
      <c r="AZ596" s="31"/>
      <c r="BA596" s="31"/>
    </row>
    <row r="597" spans="1:53" x14ac:dyDescent="0.25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35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36"/>
      <c r="AW597" s="36"/>
      <c r="AX597" s="19"/>
      <c r="AY597" s="37"/>
      <c r="AZ597" s="24"/>
      <c r="BA597" s="24"/>
    </row>
    <row r="598" spans="1:53" x14ac:dyDescent="0.25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38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39"/>
      <c r="AW598" s="39"/>
      <c r="AX598" s="26"/>
      <c r="AY598" s="41"/>
      <c r="AZ598" s="31"/>
      <c r="BA598" s="31"/>
    </row>
    <row r="599" spans="1:53" x14ac:dyDescent="0.25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35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36"/>
      <c r="AW599" s="36"/>
      <c r="AX599" s="19"/>
      <c r="AY599" s="37"/>
      <c r="AZ599" s="24"/>
      <c r="BA599" s="24"/>
    </row>
    <row r="600" spans="1:53" x14ac:dyDescent="0.25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38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39"/>
      <c r="AW600" s="39"/>
      <c r="AX600" s="26"/>
      <c r="AY600" s="41"/>
      <c r="AZ600" s="31"/>
      <c r="BA600" s="31"/>
    </row>
    <row r="601" spans="1:53" x14ac:dyDescent="0.25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35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36"/>
      <c r="AW601" s="36"/>
      <c r="AX601" s="19"/>
      <c r="AY601" s="37"/>
      <c r="AZ601" s="24"/>
      <c r="BA601" s="24"/>
    </row>
    <row r="602" spans="1:53" x14ac:dyDescent="0.25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38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39"/>
      <c r="AW602" s="39"/>
      <c r="AX602" s="26"/>
      <c r="AY602" s="41"/>
      <c r="AZ602" s="31"/>
      <c r="BA602" s="31"/>
    </row>
    <row r="603" spans="1:53" x14ac:dyDescent="0.25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35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36"/>
      <c r="AW603" s="36"/>
      <c r="AX603" s="19"/>
      <c r="AY603" s="37"/>
      <c r="AZ603" s="24"/>
      <c r="BA603" s="24"/>
    </row>
    <row r="604" spans="1:53" x14ac:dyDescent="0.25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38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39"/>
      <c r="AW604" s="39"/>
      <c r="AX604" s="26"/>
      <c r="AY604" s="41"/>
      <c r="AZ604" s="31"/>
      <c r="BA604" s="31"/>
    </row>
    <row r="605" spans="1:53" x14ac:dyDescent="0.2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35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36"/>
      <c r="AW605" s="36"/>
      <c r="AX605" s="19"/>
      <c r="AY605" s="37"/>
      <c r="AZ605" s="24"/>
      <c r="BA605" s="24"/>
    </row>
    <row r="606" spans="1:53" x14ac:dyDescent="0.25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38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39"/>
      <c r="AW606" s="39"/>
      <c r="AX606" s="26"/>
      <c r="AY606" s="41"/>
      <c r="AZ606" s="31"/>
      <c r="BA606" s="31"/>
    </row>
    <row r="607" spans="1:53" x14ac:dyDescent="0.25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35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36"/>
      <c r="AW607" s="36"/>
      <c r="AX607" s="19"/>
      <c r="AY607" s="37"/>
      <c r="AZ607" s="24"/>
      <c r="BA607" s="24"/>
    </row>
    <row r="608" spans="1:53" x14ac:dyDescent="0.25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38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39"/>
      <c r="AW608" s="39"/>
      <c r="AX608" s="26"/>
      <c r="AY608" s="41"/>
      <c r="AZ608" s="31"/>
      <c r="BA608" s="31"/>
    </row>
    <row r="609" spans="1:53" x14ac:dyDescent="0.25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35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36"/>
      <c r="AW609" s="36"/>
      <c r="AX609" s="19"/>
      <c r="AY609" s="37"/>
      <c r="AZ609" s="24"/>
      <c r="BA609" s="24"/>
    </row>
    <row r="610" spans="1:53" x14ac:dyDescent="0.25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38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39"/>
      <c r="AW610" s="39"/>
      <c r="AX610" s="26"/>
      <c r="AY610" s="41"/>
      <c r="AZ610" s="31"/>
      <c r="BA610" s="31"/>
    </row>
    <row r="611" spans="1:53" x14ac:dyDescent="0.25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35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36"/>
      <c r="AW611" s="36"/>
      <c r="AX611" s="19"/>
      <c r="AY611" s="37"/>
      <c r="AZ611" s="24"/>
      <c r="BA611" s="24"/>
    </row>
    <row r="612" spans="1:53" x14ac:dyDescent="0.25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38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39"/>
      <c r="AW612" s="39"/>
      <c r="AX612" s="26"/>
      <c r="AY612" s="41"/>
      <c r="AZ612" s="31"/>
      <c r="BA612" s="31"/>
    </row>
    <row r="613" spans="1:53" x14ac:dyDescent="0.25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35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36"/>
      <c r="AW613" s="36"/>
      <c r="AX613" s="19"/>
      <c r="AY613" s="37"/>
      <c r="AZ613" s="24"/>
      <c r="BA613" s="24"/>
    </row>
    <row r="614" spans="1:53" x14ac:dyDescent="0.25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38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39"/>
      <c r="AW614" s="39"/>
      <c r="AX614" s="26"/>
      <c r="AY614" s="41"/>
      <c r="AZ614" s="31"/>
      <c r="BA614" s="31"/>
    </row>
    <row r="615" spans="1:53" x14ac:dyDescent="0.2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35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36"/>
      <c r="AW615" s="36"/>
      <c r="AX615" s="19"/>
      <c r="AY615" s="37"/>
      <c r="AZ615" s="24"/>
      <c r="BA615" s="24"/>
    </row>
    <row r="616" spans="1:53" x14ac:dyDescent="0.25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38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39"/>
      <c r="AW616" s="39"/>
      <c r="AX616" s="26"/>
      <c r="AY616" s="41"/>
      <c r="AZ616" s="31"/>
      <c r="BA616" s="31"/>
    </row>
    <row r="617" spans="1:53" x14ac:dyDescent="0.25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35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36"/>
      <c r="AW617" s="36"/>
      <c r="AX617" s="19"/>
      <c r="AY617" s="37"/>
      <c r="AZ617" s="24"/>
      <c r="BA617" s="24"/>
    </row>
    <row r="618" spans="1:53" x14ac:dyDescent="0.25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38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39"/>
      <c r="AW618" s="39"/>
      <c r="AX618" s="26"/>
      <c r="AY618" s="41"/>
      <c r="AZ618" s="31"/>
      <c r="BA618" s="31"/>
    </row>
    <row r="619" spans="1:53" x14ac:dyDescent="0.25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35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36"/>
      <c r="AW619" s="36"/>
      <c r="AX619" s="19"/>
      <c r="AY619" s="37"/>
      <c r="AZ619" s="24"/>
      <c r="BA619" s="24"/>
    </row>
    <row r="620" spans="1:53" x14ac:dyDescent="0.25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38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39"/>
      <c r="AW620" s="39"/>
      <c r="AX620" s="26"/>
      <c r="AY620" s="41"/>
      <c r="AZ620" s="31"/>
      <c r="BA620" s="31"/>
    </row>
    <row r="621" spans="1:53" x14ac:dyDescent="0.25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35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36"/>
      <c r="AW621" s="36"/>
      <c r="AX621" s="19"/>
      <c r="AY621" s="37"/>
      <c r="AZ621" s="24"/>
      <c r="BA621" s="24"/>
    </row>
    <row r="622" spans="1:53" x14ac:dyDescent="0.25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38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39"/>
      <c r="AW622" s="39"/>
      <c r="AX622" s="26"/>
      <c r="AY622" s="41"/>
      <c r="AZ622" s="31"/>
      <c r="BA622" s="31"/>
    </row>
    <row r="623" spans="1:53" x14ac:dyDescent="0.25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35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36"/>
      <c r="AW623" s="36"/>
      <c r="AX623" s="19"/>
      <c r="AY623" s="37"/>
      <c r="AZ623" s="24"/>
      <c r="BA623" s="24"/>
    </row>
    <row r="624" spans="1:53" x14ac:dyDescent="0.25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38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39"/>
      <c r="AW624" s="39"/>
      <c r="AX624" s="26"/>
      <c r="AY624" s="41"/>
      <c r="AZ624" s="31"/>
      <c r="BA624" s="31"/>
    </row>
    <row r="625" spans="1:53" x14ac:dyDescent="0.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35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36"/>
      <c r="AW625" s="36"/>
      <c r="AX625" s="19"/>
      <c r="AY625" s="37"/>
      <c r="AZ625" s="24"/>
      <c r="BA625" s="24"/>
    </row>
    <row r="626" spans="1:53" x14ac:dyDescent="0.25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38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39"/>
      <c r="AW626" s="39"/>
      <c r="AX626" s="26"/>
      <c r="AY626" s="41"/>
      <c r="AZ626" s="31"/>
      <c r="BA626" s="31"/>
    </row>
    <row r="627" spans="1:53" x14ac:dyDescent="0.25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35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36"/>
      <c r="AW627" s="36"/>
      <c r="AX627" s="19"/>
      <c r="AY627" s="37"/>
      <c r="AZ627" s="24"/>
      <c r="BA627" s="24"/>
    </row>
    <row r="628" spans="1:53" x14ac:dyDescent="0.25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38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39"/>
      <c r="AW628" s="39"/>
      <c r="AX628" s="26"/>
      <c r="AY628" s="41"/>
      <c r="AZ628" s="31"/>
      <c r="BA628" s="31"/>
    </row>
    <row r="629" spans="1:53" x14ac:dyDescent="0.25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35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36"/>
      <c r="AW629" s="36"/>
      <c r="AX629" s="19"/>
      <c r="AY629" s="37"/>
      <c r="AZ629" s="24"/>
      <c r="BA629" s="24"/>
    </row>
    <row r="630" spans="1:53" x14ac:dyDescent="0.25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38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39"/>
      <c r="AW630" s="39"/>
      <c r="AX630" s="26"/>
      <c r="AY630" s="41"/>
      <c r="AZ630" s="31"/>
      <c r="BA630" s="31"/>
    </row>
    <row r="631" spans="1:53" x14ac:dyDescent="0.25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35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36"/>
      <c r="AW631" s="36"/>
      <c r="AX631" s="19"/>
      <c r="AY631" s="37"/>
      <c r="AZ631" s="24"/>
      <c r="BA631" s="24"/>
    </row>
    <row r="632" spans="1:53" x14ac:dyDescent="0.25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38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39"/>
      <c r="AW632" s="39"/>
      <c r="AX632" s="26"/>
      <c r="AY632" s="41"/>
      <c r="AZ632" s="31"/>
      <c r="BA632" s="31"/>
    </row>
    <row r="633" spans="1:53" x14ac:dyDescent="0.25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35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36"/>
      <c r="AW633" s="36"/>
      <c r="AX633" s="19"/>
      <c r="AY633" s="37"/>
      <c r="AZ633" s="24"/>
      <c r="BA633" s="24"/>
    </row>
    <row r="634" spans="1:53" x14ac:dyDescent="0.25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38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39"/>
      <c r="AW634" s="39"/>
      <c r="AX634" s="26"/>
      <c r="AY634" s="41"/>
      <c r="AZ634" s="31"/>
      <c r="BA634" s="31"/>
    </row>
    <row r="635" spans="1:53" x14ac:dyDescent="0.2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35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36"/>
      <c r="AW635" s="36"/>
      <c r="AX635" s="19"/>
      <c r="AY635" s="37"/>
      <c r="AZ635" s="24"/>
      <c r="BA635" s="24"/>
    </row>
    <row r="636" spans="1:53" x14ac:dyDescent="0.25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38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39"/>
      <c r="AW636" s="39"/>
      <c r="AX636" s="26"/>
      <c r="AY636" s="41"/>
      <c r="AZ636" s="31"/>
      <c r="BA636" s="31"/>
    </row>
    <row r="637" spans="1:53" x14ac:dyDescent="0.25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35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36"/>
      <c r="AW637" s="36"/>
      <c r="AX637" s="19"/>
      <c r="AY637" s="37"/>
      <c r="AZ637" s="24"/>
      <c r="BA637" s="24"/>
    </row>
    <row r="638" spans="1:53" x14ac:dyDescent="0.25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38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39"/>
      <c r="AW638" s="39"/>
      <c r="AX638" s="26"/>
      <c r="AY638" s="41"/>
      <c r="AZ638" s="31"/>
      <c r="BA638" s="31"/>
    </row>
    <row r="639" spans="1:53" x14ac:dyDescent="0.25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35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36"/>
      <c r="AW639" s="36"/>
      <c r="AX639" s="19"/>
      <c r="AY639" s="37"/>
      <c r="AZ639" s="24"/>
      <c r="BA639" s="24"/>
    </row>
    <row r="640" spans="1:53" x14ac:dyDescent="0.25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38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39"/>
      <c r="AW640" s="39"/>
      <c r="AX640" s="26"/>
      <c r="AY640" s="41"/>
      <c r="AZ640" s="31"/>
      <c r="BA640" s="31"/>
    </row>
    <row r="641" spans="1:53" x14ac:dyDescent="0.25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35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36"/>
      <c r="AW641" s="36"/>
      <c r="AX641" s="19"/>
      <c r="AY641" s="37"/>
      <c r="AZ641" s="24"/>
      <c r="BA641" s="24"/>
    </row>
    <row r="642" spans="1:53" x14ac:dyDescent="0.25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38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39"/>
      <c r="AW642" s="39"/>
      <c r="AX642" s="26"/>
      <c r="AY642" s="41"/>
      <c r="AZ642" s="31"/>
      <c r="BA642" s="31"/>
    </row>
    <row r="643" spans="1:53" x14ac:dyDescent="0.25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35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36"/>
      <c r="AW643" s="36"/>
      <c r="AX643" s="19"/>
      <c r="AY643" s="37"/>
      <c r="AZ643" s="24"/>
      <c r="BA643" s="24"/>
    </row>
    <row r="644" spans="1:53" x14ac:dyDescent="0.25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38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39"/>
      <c r="AW644" s="39"/>
      <c r="AX644" s="26"/>
      <c r="AY644" s="41"/>
      <c r="AZ644" s="31"/>
      <c r="BA644" s="31"/>
    </row>
    <row r="645" spans="1:53" x14ac:dyDescent="0.2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35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36"/>
      <c r="AW645" s="36"/>
      <c r="AX645" s="19"/>
      <c r="AY645" s="37"/>
      <c r="AZ645" s="24"/>
      <c r="BA645" s="24"/>
    </row>
    <row r="646" spans="1:53" x14ac:dyDescent="0.25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38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39"/>
      <c r="AW646" s="39"/>
      <c r="AX646" s="26"/>
      <c r="AY646" s="41"/>
      <c r="AZ646" s="31"/>
      <c r="BA646" s="31"/>
    </row>
    <row r="647" spans="1:53" x14ac:dyDescent="0.25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35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36"/>
      <c r="AW647" s="36"/>
      <c r="AX647" s="19"/>
      <c r="AY647" s="37"/>
      <c r="AZ647" s="24"/>
      <c r="BA647" s="24"/>
    </row>
    <row r="648" spans="1:53" x14ac:dyDescent="0.25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38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39"/>
      <c r="AW648" s="39"/>
      <c r="AX648" s="26"/>
      <c r="AY648" s="41"/>
      <c r="AZ648" s="31"/>
      <c r="BA648" s="31"/>
    </row>
    <row r="649" spans="1:53" x14ac:dyDescent="0.25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35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36"/>
      <c r="AW649" s="36"/>
      <c r="AX649" s="19"/>
      <c r="AY649" s="37"/>
      <c r="AZ649" s="24"/>
      <c r="BA649" s="24"/>
    </row>
    <row r="650" spans="1:53" x14ac:dyDescent="0.25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38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39"/>
      <c r="AW650" s="39"/>
      <c r="AX650" s="26"/>
      <c r="AY650" s="41"/>
      <c r="AZ650" s="31"/>
      <c r="BA650" s="31"/>
    </row>
    <row r="651" spans="1:53" x14ac:dyDescent="0.25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35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36"/>
      <c r="AW651" s="36"/>
      <c r="AX651" s="19"/>
      <c r="AY651" s="37"/>
      <c r="AZ651" s="24"/>
      <c r="BA651" s="24"/>
    </row>
    <row r="652" spans="1:53" x14ac:dyDescent="0.25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38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39"/>
      <c r="AW652" s="39"/>
      <c r="AX652" s="26"/>
      <c r="AY652" s="41"/>
      <c r="AZ652" s="31"/>
      <c r="BA652" s="31"/>
    </row>
    <row r="653" spans="1:53" x14ac:dyDescent="0.25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35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36"/>
      <c r="AW653" s="36"/>
      <c r="AX653" s="19"/>
      <c r="AY653" s="37"/>
      <c r="AZ653" s="24"/>
      <c r="BA653" s="24"/>
    </row>
    <row r="654" spans="1:53" x14ac:dyDescent="0.25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38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39"/>
      <c r="AW654" s="39"/>
      <c r="AX654" s="26"/>
      <c r="AY654" s="41"/>
      <c r="AZ654" s="31"/>
      <c r="BA654" s="31"/>
    </row>
    <row r="655" spans="1:53" x14ac:dyDescent="0.2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35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36"/>
      <c r="AW655" s="36"/>
      <c r="AX655" s="19"/>
      <c r="AY655" s="37"/>
      <c r="AZ655" s="24"/>
      <c r="BA655" s="24"/>
    </row>
    <row r="656" spans="1:53" x14ac:dyDescent="0.25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38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39"/>
      <c r="AW656" s="39"/>
      <c r="AX656" s="26"/>
      <c r="AY656" s="41"/>
      <c r="AZ656" s="31"/>
      <c r="BA656" s="31"/>
    </row>
    <row r="657" spans="1:53" x14ac:dyDescent="0.25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35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36"/>
      <c r="AW657" s="36"/>
      <c r="AX657" s="19"/>
      <c r="AY657" s="37"/>
      <c r="AZ657" s="24"/>
      <c r="BA657" s="24"/>
    </row>
    <row r="658" spans="1:53" x14ac:dyDescent="0.25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38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39"/>
      <c r="AW658" s="39"/>
      <c r="AX658" s="26"/>
      <c r="AY658" s="41"/>
      <c r="AZ658" s="31"/>
      <c r="BA658" s="31"/>
    </row>
    <row r="659" spans="1:53" x14ac:dyDescent="0.25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35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36"/>
      <c r="AW659" s="36"/>
      <c r="AX659" s="19"/>
      <c r="AY659" s="37"/>
      <c r="AZ659" s="24"/>
      <c r="BA659" s="24"/>
    </row>
    <row r="660" spans="1:53" x14ac:dyDescent="0.25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38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39"/>
      <c r="AW660" s="39"/>
      <c r="AX660" s="26"/>
      <c r="AY660" s="41"/>
      <c r="AZ660" s="31"/>
      <c r="BA660" s="31"/>
    </row>
    <row r="661" spans="1:53" x14ac:dyDescent="0.25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35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36"/>
      <c r="AW661" s="36"/>
      <c r="AX661" s="19"/>
      <c r="AY661" s="37"/>
      <c r="AZ661" s="24"/>
      <c r="BA661" s="24"/>
    </row>
    <row r="662" spans="1:53" x14ac:dyDescent="0.25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38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39"/>
      <c r="AW662" s="39"/>
      <c r="AX662" s="26"/>
      <c r="AY662" s="41"/>
      <c r="AZ662" s="31"/>
      <c r="BA662" s="31"/>
    </row>
    <row r="663" spans="1:53" x14ac:dyDescent="0.25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35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36"/>
      <c r="AW663" s="36"/>
      <c r="AX663" s="19"/>
      <c r="AY663" s="37"/>
      <c r="AZ663" s="24"/>
      <c r="BA663" s="24"/>
    </row>
    <row r="664" spans="1:53" x14ac:dyDescent="0.25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38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39"/>
      <c r="AW664" s="39"/>
      <c r="AX664" s="26"/>
      <c r="AY664" s="41"/>
      <c r="AZ664" s="31"/>
      <c r="BA664" s="31"/>
    </row>
    <row r="665" spans="1:53" x14ac:dyDescent="0.2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35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36"/>
      <c r="AW665" s="36"/>
      <c r="AX665" s="19"/>
      <c r="AY665" s="37"/>
      <c r="AZ665" s="24"/>
      <c r="BA665" s="24"/>
    </row>
    <row r="666" spans="1:53" x14ac:dyDescent="0.25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38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39"/>
      <c r="AW666" s="39"/>
      <c r="AX666" s="26"/>
      <c r="AY666" s="41"/>
      <c r="AZ666" s="31"/>
      <c r="BA666" s="31"/>
    </row>
    <row r="667" spans="1:53" x14ac:dyDescent="0.25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35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36"/>
      <c r="AW667" s="36"/>
      <c r="AX667" s="19"/>
      <c r="AY667" s="37"/>
      <c r="AZ667" s="24"/>
      <c r="BA667" s="24"/>
    </row>
    <row r="668" spans="1:53" x14ac:dyDescent="0.25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38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39"/>
      <c r="AW668" s="39"/>
      <c r="AX668" s="26"/>
      <c r="AY668" s="41"/>
      <c r="AZ668" s="31"/>
      <c r="BA668" s="31"/>
    </row>
    <row r="669" spans="1:53" x14ac:dyDescent="0.25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35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36"/>
      <c r="AW669" s="36"/>
      <c r="AX669" s="19"/>
      <c r="AY669" s="37"/>
      <c r="AZ669" s="24"/>
      <c r="BA669" s="24"/>
    </row>
    <row r="670" spans="1:53" x14ac:dyDescent="0.25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38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39"/>
      <c r="AW670" s="39"/>
      <c r="AX670" s="26"/>
      <c r="AY670" s="41"/>
      <c r="AZ670" s="31"/>
      <c r="BA670" s="31"/>
    </row>
    <row r="671" spans="1:53" x14ac:dyDescent="0.25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35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36"/>
      <c r="AW671" s="36"/>
      <c r="AX671" s="19"/>
      <c r="AY671" s="37"/>
      <c r="AZ671" s="24"/>
      <c r="BA671" s="24"/>
    </row>
    <row r="672" spans="1:53" x14ac:dyDescent="0.25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38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39"/>
      <c r="AW672" s="39"/>
      <c r="AX672" s="26"/>
      <c r="AY672" s="41"/>
      <c r="AZ672" s="31"/>
      <c r="BA672" s="31"/>
    </row>
    <row r="673" spans="1:53" x14ac:dyDescent="0.25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35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36"/>
      <c r="AW673" s="36"/>
      <c r="AX673" s="19"/>
      <c r="AY673" s="37"/>
      <c r="AZ673" s="24"/>
      <c r="BA673" s="24"/>
    </row>
    <row r="674" spans="1:53" x14ac:dyDescent="0.25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38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39"/>
      <c r="AW674" s="39"/>
      <c r="AX674" s="26"/>
      <c r="AY674" s="41"/>
      <c r="AZ674" s="31"/>
      <c r="BA674" s="31"/>
    </row>
    <row r="675" spans="1:53" x14ac:dyDescent="0.2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35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36"/>
      <c r="AW675" s="36"/>
      <c r="AX675" s="19"/>
      <c r="AY675" s="37"/>
      <c r="AZ675" s="24"/>
      <c r="BA675" s="24"/>
    </row>
    <row r="676" spans="1:53" x14ac:dyDescent="0.25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38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39"/>
      <c r="AW676" s="39"/>
      <c r="AX676" s="26"/>
      <c r="AY676" s="41"/>
      <c r="AZ676" s="31"/>
      <c r="BA676" s="31"/>
    </row>
    <row r="677" spans="1:53" x14ac:dyDescent="0.25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35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36"/>
      <c r="AW677" s="36"/>
      <c r="AX677" s="19"/>
      <c r="AY677" s="37"/>
      <c r="AZ677" s="24"/>
      <c r="BA677" s="24"/>
    </row>
    <row r="678" spans="1:53" x14ac:dyDescent="0.25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38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39"/>
      <c r="AW678" s="39"/>
      <c r="AX678" s="26"/>
      <c r="AY678" s="41"/>
      <c r="AZ678" s="31"/>
      <c r="BA678" s="31"/>
    </row>
    <row r="679" spans="1:53" x14ac:dyDescent="0.25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35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36"/>
      <c r="AW679" s="36"/>
      <c r="AX679" s="19"/>
      <c r="AY679" s="37"/>
      <c r="AZ679" s="24"/>
      <c r="BA679" s="24"/>
    </row>
    <row r="680" spans="1:53" x14ac:dyDescent="0.25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38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39"/>
      <c r="AW680" s="39"/>
      <c r="AX680" s="26"/>
      <c r="AY680" s="41"/>
      <c r="AZ680" s="31"/>
      <c r="BA680" s="31"/>
    </row>
    <row r="681" spans="1:53" x14ac:dyDescent="0.25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35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36"/>
      <c r="AW681" s="36"/>
      <c r="AX681" s="19"/>
      <c r="AY681" s="37"/>
      <c r="AZ681" s="24"/>
      <c r="BA681" s="24"/>
    </row>
    <row r="682" spans="1:53" x14ac:dyDescent="0.25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38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39"/>
      <c r="AW682" s="39"/>
      <c r="AX682" s="26"/>
      <c r="AY682" s="41"/>
      <c r="AZ682" s="31"/>
      <c r="BA682" s="31"/>
    </row>
    <row r="683" spans="1:53" x14ac:dyDescent="0.25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35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36"/>
      <c r="AW683" s="36"/>
      <c r="AX683" s="19"/>
      <c r="AY683" s="37"/>
      <c r="AZ683" s="24"/>
      <c r="BA683" s="24"/>
    </row>
    <row r="684" spans="1:53" x14ac:dyDescent="0.25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38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39"/>
      <c r="AW684" s="39"/>
      <c r="AX684" s="26"/>
      <c r="AY684" s="41"/>
      <c r="AZ684" s="31"/>
      <c r="BA684" s="31"/>
    </row>
    <row r="685" spans="1:53" x14ac:dyDescent="0.2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35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36"/>
      <c r="AW685" s="36"/>
      <c r="AX685" s="19"/>
      <c r="AY685" s="37"/>
      <c r="AZ685" s="24"/>
      <c r="BA685" s="24"/>
    </row>
    <row r="686" spans="1:53" x14ac:dyDescent="0.25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38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39"/>
      <c r="AW686" s="39"/>
      <c r="AX686" s="26"/>
      <c r="AY686" s="41"/>
      <c r="AZ686" s="31"/>
      <c r="BA686" s="31"/>
    </row>
    <row r="687" spans="1:53" x14ac:dyDescent="0.25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35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36"/>
      <c r="AW687" s="36"/>
      <c r="AX687" s="19"/>
      <c r="AY687" s="37"/>
      <c r="AZ687" s="24"/>
      <c r="BA687" s="24"/>
    </row>
    <row r="688" spans="1:53" x14ac:dyDescent="0.25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38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39"/>
      <c r="AW688" s="39"/>
      <c r="AX688" s="26"/>
      <c r="AY688" s="41"/>
      <c r="AZ688" s="31"/>
      <c r="BA688" s="31"/>
    </row>
    <row r="689" spans="1:53" x14ac:dyDescent="0.25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35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36"/>
      <c r="AW689" s="36"/>
      <c r="AX689" s="19"/>
      <c r="AY689" s="37"/>
      <c r="AZ689" s="24"/>
      <c r="BA689" s="24"/>
    </row>
    <row r="690" spans="1:53" x14ac:dyDescent="0.25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38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39"/>
      <c r="AW690" s="39"/>
      <c r="AX690" s="26"/>
      <c r="AY690" s="41"/>
      <c r="AZ690" s="31"/>
      <c r="BA690" s="31"/>
    </row>
    <row r="691" spans="1:53" x14ac:dyDescent="0.25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35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36"/>
      <c r="AW691" s="36"/>
      <c r="AX691" s="19"/>
      <c r="AY691" s="37"/>
      <c r="AZ691" s="24"/>
      <c r="BA691" s="24"/>
    </row>
    <row r="692" spans="1:53" x14ac:dyDescent="0.25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38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39"/>
      <c r="AW692" s="39"/>
      <c r="AX692" s="26"/>
      <c r="AY692" s="41"/>
      <c r="AZ692" s="31"/>
      <c r="BA692" s="31"/>
    </row>
    <row r="693" spans="1:53" x14ac:dyDescent="0.25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35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36"/>
      <c r="AW693" s="36"/>
      <c r="AX693" s="19"/>
      <c r="AY693" s="37"/>
      <c r="AZ693" s="24"/>
      <c r="BA693" s="24"/>
    </row>
    <row r="694" spans="1:53" x14ac:dyDescent="0.25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38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39"/>
      <c r="AW694" s="39"/>
      <c r="AX694" s="26"/>
      <c r="AY694" s="41"/>
      <c r="AZ694" s="31"/>
      <c r="BA694" s="31"/>
    </row>
    <row r="695" spans="1:53" x14ac:dyDescent="0.2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35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36"/>
      <c r="AW695" s="36"/>
      <c r="AX695" s="19"/>
      <c r="AY695" s="37"/>
      <c r="AZ695" s="24"/>
      <c r="BA695" s="24"/>
    </row>
    <row r="696" spans="1:53" x14ac:dyDescent="0.25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38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39"/>
      <c r="AW696" s="39"/>
      <c r="AX696" s="26"/>
      <c r="AY696" s="41"/>
      <c r="AZ696" s="31"/>
      <c r="BA696" s="31"/>
    </row>
    <row r="697" spans="1:53" x14ac:dyDescent="0.25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35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36"/>
      <c r="AW697" s="36"/>
      <c r="AX697" s="19"/>
      <c r="AY697" s="37"/>
      <c r="AZ697" s="24"/>
      <c r="BA697" s="24"/>
    </row>
    <row r="698" spans="1:53" x14ac:dyDescent="0.25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38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39"/>
      <c r="AW698" s="39"/>
      <c r="AX698" s="26"/>
      <c r="AY698" s="41"/>
      <c r="AZ698" s="31"/>
      <c r="BA698" s="31"/>
    </row>
    <row r="699" spans="1:53" x14ac:dyDescent="0.25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35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36"/>
      <c r="AW699" s="36"/>
      <c r="AX699" s="19"/>
      <c r="AY699" s="37"/>
      <c r="AZ699" s="24"/>
      <c r="BA699" s="24"/>
    </row>
    <row r="700" spans="1:53" x14ac:dyDescent="0.25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38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39"/>
      <c r="AW700" s="39"/>
      <c r="AX700" s="26"/>
      <c r="AY700" s="41"/>
      <c r="AZ700" s="31"/>
      <c r="BA700" s="31"/>
    </row>
    <row r="701" spans="1:53" x14ac:dyDescent="0.25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35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36"/>
      <c r="AW701" s="36"/>
      <c r="AX701" s="19"/>
      <c r="AY701" s="37"/>
      <c r="AZ701" s="24"/>
      <c r="BA701" s="24"/>
    </row>
    <row r="702" spans="1:53" x14ac:dyDescent="0.25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38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39"/>
      <c r="AW702" s="39"/>
      <c r="AX702" s="26"/>
      <c r="AY702" s="41"/>
      <c r="AZ702" s="31"/>
      <c r="BA702" s="31"/>
    </row>
    <row r="703" spans="1:53" x14ac:dyDescent="0.25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35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36"/>
      <c r="AW703" s="36"/>
      <c r="AX703" s="19"/>
      <c r="AY703" s="37"/>
      <c r="AZ703" s="24"/>
      <c r="BA703" s="24"/>
    </row>
    <row r="704" spans="1:53" x14ac:dyDescent="0.25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38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39"/>
      <c r="AW704" s="39"/>
      <c r="AX704" s="26"/>
      <c r="AY704" s="41"/>
      <c r="AZ704" s="31"/>
      <c r="BA704" s="31"/>
    </row>
    <row r="705" spans="1:53" x14ac:dyDescent="0.2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35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36"/>
      <c r="AW705" s="36"/>
      <c r="AX705" s="19"/>
      <c r="AY705" s="37"/>
      <c r="AZ705" s="24"/>
      <c r="BA705" s="24"/>
    </row>
    <row r="706" spans="1:53" x14ac:dyDescent="0.25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38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39"/>
      <c r="AW706" s="39"/>
      <c r="AX706" s="26"/>
      <c r="AY706" s="41"/>
      <c r="AZ706" s="31"/>
      <c r="BA706" s="31"/>
    </row>
    <row r="707" spans="1:53" x14ac:dyDescent="0.25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35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36"/>
      <c r="AW707" s="36"/>
      <c r="AX707" s="19"/>
      <c r="AY707" s="37"/>
      <c r="AZ707" s="24"/>
      <c r="BA707" s="24"/>
    </row>
    <row r="708" spans="1:53" x14ac:dyDescent="0.25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38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39"/>
      <c r="AW708" s="39"/>
      <c r="AX708" s="26"/>
      <c r="AY708" s="41"/>
      <c r="AZ708" s="31"/>
      <c r="BA708" s="31"/>
    </row>
    <row r="709" spans="1:53" x14ac:dyDescent="0.25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35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36"/>
      <c r="AW709" s="36"/>
      <c r="AX709" s="19"/>
      <c r="AY709" s="37"/>
      <c r="AZ709" s="24"/>
      <c r="BA709" s="24"/>
    </row>
    <row r="710" spans="1:53" x14ac:dyDescent="0.25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38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39"/>
      <c r="AW710" s="39"/>
      <c r="AX710" s="26"/>
      <c r="AY710" s="41"/>
      <c r="AZ710" s="31"/>
      <c r="BA710" s="31"/>
    </row>
    <row r="711" spans="1:53" x14ac:dyDescent="0.25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35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36"/>
      <c r="AW711" s="36"/>
      <c r="AX711" s="19"/>
      <c r="AY711" s="37"/>
      <c r="AZ711" s="24"/>
      <c r="BA711" s="24"/>
    </row>
    <row r="712" spans="1:53" x14ac:dyDescent="0.25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38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39"/>
      <c r="AW712" s="39"/>
      <c r="AX712" s="26"/>
      <c r="AY712" s="41"/>
      <c r="AZ712" s="31"/>
      <c r="BA712" s="31"/>
    </row>
    <row r="713" spans="1:53" x14ac:dyDescent="0.25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35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36"/>
      <c r="AW713" s="36"/>
      <c r="AX713" s="19"/>
      <c r="AY713" s="37"/>
      <c r="AZ713" s="24"/>
      <c r="BA713" s="24"/>
    </row>
    <row r="714" spans="1:53" x14ac:dyDescent="0.25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38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39"/>
      <c r="AW714" s="39"/>
      <c r="AX714" s="26"/>
      <c r="AY714" s="41"/>
      <c r="AZ714" s="31"/>
      <c r="BA714" s="31"/>
    </row>
    <row r="715" spans="1:53" x14ac:dyDescent="0.2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35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36"/>
      <c r="AW715" s="36"/>
      <c r="AX715" s="19"/>
      <c r="AY715" s="37"/>
      <c r="AZ715" s="24"/>
      <c r="BA715" s="24"/>
    </row>
    <row r="716" spans="1:53" x14ac:dyDescent="0.25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38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39"/>
      <c r="AW716" s="39"/>
      <c r="AX716" s="26"/>
      <c r="AY716" s="41"/>
      <c r="AZ716" s="31"/>
      <c r="BA716" s="31"/>
    </row>
    <row r="717" spans="1:53" x14ac:dyDescent="0.25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35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36"/>
      <c r="AW717" s="36"/>
      <c r="AX717" s="19"/>
      <c r="AY717" s="37"/>
      <c r="AZ717" s="24"/>
      <c r="BA717" s="24"/>
    </row>
    <row r="718" spans="1:53" x14ac:dyDescent="0.25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38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39"/>
      <c r="AW718" s="39"/>
      <c r="AX718" s="26"/>
      <c r="AY718" s="41"/>
      <c r="AZ718" s="31"/>
      <c r="BA718" s="31"/>
    </row>
    <row r="719" spans="1:53" x14ac:dyDescent="0.25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35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36"/>
      <c r="AW719" s="36"/>
      <c r="AX719" s="19"/>
      <c r="AY719" s="37"/>
      <c r="AZ719" s="24"/>
      <c r="BA719" s="24"/>
    </row>
    <row r="720" spans="1:53" x14ac:dyDescent="0.25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38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39"/>
      <c r="AW720" s="39"/>
      <c r="AX720" s="26"/>
      <c r="AY720" s="41"/>
      <c r="AZ720" s="31"/>
      <c r="BA720" s="31"/>
    </row>
    <row r="721" spans="1:53" x14ac:dyDescent="0.25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35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36"/>
      <c r="AW721" s="36"/>
      <c r="AX721" s="19"/>
      <c r="AY721" s="37"/>
      <c r="AZ721" s="24"/>
      <c r="BA721" s="24"/>
    </row>
    <row r="722" spans="1:53" x14ac:dyDescent="0.25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38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39"/>
      <c r="AW722" s="39"/>
      <c r="AX722" s="26"/>
      <c r="AY722" s="41"/>
      <c r="AZ722" s="31"/>
      <c r="BA722" s="31"/>
    </row>
    <row r="723" spans="1:53" x14ac:dyDescent="0.25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35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36"/>
      <c r="AW723" s="36"/>
      <c r="AX723" s="19"/>
      <c r="AY723" s="37"/>
      <c r="AZ723" s="24"/>
      <c r="BA723" s="24"/>
    </row>
    <row r="724" spans="1:53" x14ac:dyDescent="0.25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38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39"/>
      <c r="AW724" s="39"/>
      <c r="AX724" s="26"/>
      <c r="AY724" s="41"/>
      <c r="AZ724" s="31"/>
      <c r="BA724" s="31"/>
    </row>
    <row r="725" spans="1:53" x14ac:dyDescent="0.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35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36"/>
      <c r="AW725" s="36"/>
      <c r="AX725" s="19"/>
      <c r="AY725" s="37"/>
      <c r="AZ725" s="24"/>
      <c r="BA725" s="24"/>
    </row>
    <row r="726" spans="1:53" x14ac:dyDescent="0.25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38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39"/>
      <c r="AW726" s="39"/>
      <c r="AX726" s="26"/>
      <c r="AY726" s="41"/>
      <c r="AZ726" s="31"/>
      <c r="BA726" s="31"/>
    </row>
    <row r="727" spans="1:53" x14ac:dyDescent="0.25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35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36"/>
      <c r="AW727" s="36"/>
      <c r="AX727" s="19"/>
      <c r="AY727" s="37"/>
      <c r="AZ727" s="24"/>
      <c r="BA727" s="24"/>
    </row>
    <row r="728" spans="1:53" x14ac:dyDescent="0.25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38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39"/>
      <c r="AW728" s="39"/>
      <c r="AX728" s="26"/>
      <c r="AY728" s="41"/>
      <c r="AZ728" s="31"/>
      <c r="BA728" s="31"/>
    </row>
    <row r="729" spans="1:53" x14ac:dyDescent="0.25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35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36"/>
      <c r="AW729" s="36"/>
      <c r="AX729" s="19"/>
      <c r="AY729" s="37"/>
      <c r="AZ729" s="24"/>
      <c r="BA729" s="24"/>
    </row>
    <row r="730" spans="1:53" x14ac:dyDescent="0.25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38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39"/>
      <c r="AW730" s="39"/>
      <c r="AX730" s="26"/>
      <c r="AY730" s="41"/>
      <c r="AZ730" s="31"/>
      <c r="BA730" s="31"/>
    </row>
    <row r="731" spans="1:53" x14ac:dyDescent="0.25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35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36"/>
      <c r="AW731" s="36"/>
      <c r="AX731" s="19"/>
      <c r="AY731" s="37"/>
      <c r="AZ731" s="24"/>
      <c r="BA731" s="24"/>
    </row>
    <row r="732" spans="1:53" x14ac:dyDescent="0.25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38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39"/>
      <c r="AW732" s="39"/>
      <c r="AX732" s="26"/>
      <c r="AY732" s="41"/>
      <c r="AZ732" s="31"/>
      <c r="BA732" s="31"/>
    </row>
    <row r="733" spans="1:53" x14ac:dyDescent="0.25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35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36"/>
      <c r="AW733" s="36"/>
      <c r="AX733" s="19"/>
      <c r="AY733" s="37"/>
      <c r="AZ733" s="24"/>
      <c r="BA733" s="24"/>
    </row>
    <row r="734" spans="1:53" x14ac:dyDescent="0.25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38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39"/>
      <c r="AW734" s="39"/>
      <c r="AX734" s="26"/>
      <c r="AY734" s="41"/>
      <c r="AZ734" s="31"/>
      <c r="BA734" s="31"/>
    </row>
    <row r="735" spans="1:53" x14ac:dyDescent="0.2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35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36"/>
      <c r="AW735" s="36"/>
      <c r="AX735" s="19"/>
      <c r="AY735" s="37"/>
      <c r="AZ735" s="24"/>
      <c r="BA735" s="24"/>
    </row>
    <row r="736" spans="1:53" x14ac:dyDescent="0.25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38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39"/>
      <c r="AW736" s="39"/>
      <c r="AX736" s="26"/>
      <c r="AY736" s="41"/>
      <c r="AZ736" s="31"/>
      <c r="BA736" s="31"/>
    </row>
    <row r="737" spans="1:53" x14ac:dyDescent="0.25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35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36"/>
      <c r="AW737" s="36"/>
      <c r="AX737" s="19"/>
      <c r="AY737" s="37"/>
      <c r="AZ737" s="24"/>
      <c r="BA737" s="24"/>
    </row>
    <row r="738" spans="1:53" x14ac:dyDescent="0.25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38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39"/>
      <c r="AW738" s="39"/>
      <c r="AX738" s="26"/>
      <c r="AY738" s="41"/>
      <c r="AZ738" s="31"/>
      <c r="BA738" s="31"/>
    </row>
    <row r="739" spans="1:53" x14ac:dyDescent="0.25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35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36"/>
      <c r="AW739" s="36"/>
      <c r="AX739" s="19"/>
      <c r="AY739" s="37"/>
      <c r="AZ739" s="24"/>
      <c r="BA739" s="24"/>
    </row>
    <row r="740" spans="1:53" x14ac:dyDescent="0.25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38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39"/>
      <c r="AW740" s="39"/>
      <c r="AX740" s="26"/>
      <c r="AY740" s="41"/>
      <c r="AZ740" s="31"/>
      <c r="BA740" s="31"/>
    </row>
    <row r="741" spans="1:53" x14ac:dyDescent="0.25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35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36"/>
      <c r="AW741" s="36"/>
      <c r="AX741" s="19"/>
      <c r="AY741" s="37"/>
      <c r="AZ741" s="24"/>
      <c r="BA741" s="24"/>
    </row>
    <row r="742" spans="1:53" x14ac:dyDescent="0.25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38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39"/>
      <c r="AW742" s="39"/>
      <c r="AX742" s="26"/>
      <c r="AY742" s="41"/>
      <c r="AZ742" s="31"/>
      <c r="BA742" s="31"/>
    </row>
    <row r="743" spans="1:53" x14ac:dyDescent="0.25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35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36"/>
      <c r="AW743" s="36"/>
      <c r="AX743" s="19"/>
      <c r="AY743" s="37"/>
      <c r="AZ743" s="24"/>
      <c r="BA743" s="24"/>
    </row>
    <row r="744" spans="1:53" x14ac:dyDescent="0.25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38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39"/>
      <c r="AW744" s="39"/>
      <c r="AX744" s="26"/>
      <c r="AY744" s="41"/>
      <c r="AZ744" s="31"/>
      <c r="BA744" s="31"/>
    </row>
    <row r="745" spans="1:53" x14ac:dyDescent="0.2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35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36"/>
      <c r="AW745" s="36"/>
      <c r="AX745" s="19"/>
      <c r="AY745" s="37"/>
      <c r="AZ745" s="24"/>
      <c r="BA745" s="24"/>
    </row>
    <row r="746" spans="1:53" x14ac:dyDescent="0.25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38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39"/>
      <c r="AW746" s="39"/>
      <c r="AX746" s="26"/>
      <c r="AY746" s="41"/>
      <c r="AZ746" s="31"/>
      <c r="BA746" s="31"/>
    </row>
    <row r="747" spans="1:53" x14ac:dyDescent="0.25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35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36"/>
      <c r="AW747" s="36"/>
      <c r="AX747" s="19"/>
      <c r="AY747" s="37"/>
      <c r="AZ747" s="24"/>
      <c r="BA747" s="24"/>
    </row>
    <row r="748" spans="1:53" x14ac:dyDescent="0.25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38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39"/>
      <c r="AW748" s="39"/>
      <c r="AX748" s="26"/>
      <c r="AY748" s="41"/>
      <c r="AZ748" s="31"/>
      <c r="BA748" s="31"/>
    </row>
    <row r="749" spans="1:53" x14ac:dyDescent="0.25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35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36"/>
      <c r="AW749" s="36"/>
      <c r="AX749" s="19"/>
      <c r="AY749" s="37"/>
      <c r="AZ749" s="24"/>
      <c r="BA749" s="24"/>
    </row>
    <row r="750" spans="1:53" x14ac:dyDescent="0.25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38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39"/>
      <c r="AW750" s="39"/>
      <c r="AX750" s="26"/>
      <c r="AY750" s="41"/>
      <c r="AZ750" s="31"/>
      <c r="BA750" s="31"/>
    </row>
    <row r="751" spans="1:53" x14ac:dyDescent="0.25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35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36"/>
      <c r="AW751" s="36"/>
      <c r="AX751" s="19"/>
      <c r="AY751" s="37"/>
      <c r="AZ751" s="24"/>
      <c r="BA751" s="24"/>
    </row>
    <row r="752" spans="1:53" x14ac:dyDescent="0.25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38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39"/>
      <c r="AW752" s="39"/>
      <c r="AX752" s="26"/>
      <c r="AY752" s="41"/>
      <c r="AZ752" s="31"/>
      <c r="BA752" s="31"/>
    </row>
    <row r="753" spans="1:53" x14ac:dyDescent="0.25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35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36"/>
      <c r="AW753" s="36"/>
      <c r="AX753" s="19"/>
      <c r="AY753" s="37"/>
      <c r="AZ753" s="24"/>
      <c r="BA753" s="24"/>
    </row>
    <row r="754" spans="1:53" x14ac:dyDescent="0.25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38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39"/>
      <c r="AW754" s="39"/>
      <c r="AX754" s="26"/>
      <c r="AY754" s="41"/>
      <c r="AZ754" s="31"/>
      <c r="BA754" s="31"/>
    </row>
    <row r="755" spans="1:53" x14ac:dyDescent="0.2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35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36"/>
      <c r="AW755" s="36"/>
      <c r="AX755" s="19"/>
      <c r="AY755" s="37"/>
      <c r="AZ755" s="24"/>
      <c r="BA755" s="24"/>
    </row>
    <row r="756" spans="1:53" x14ac:dyDescent="0.25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38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39"/>
      <c r="AW756" s="39"/>
      <c r="AX756" s="26"/>
      <c r="AY756" s="41"/>
      <c r="AZ756" s="31"/>
      <c r="BA756" s="31"/>
    </row>
    <row r="757" spans="1:53" x14ac:dyDescent="0.25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35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36"/>
      <c r="AW757" s="36"/>
      <c r="AX757" s="19"/>
      <c r="AY757" s="37"/>
      <c r="AZ757" s="24"/>
      <c r="BA757" s="24"/>
    </row>
    <row r="758" spans="1:53" x14ac:dyDescent="0.25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38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39"/>
      <c r="AW758" s="39"/>
      <c r="AX758" s="26"/>
      <c r="AY758" s="41"/>
      <c r="AZ758" s="31"/>
      <c r="BA758" s="31"/>
    </row>
    <row r="759" spans="1:53" x14ac:dyDescent="0.25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35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36"/>
      <c r="AW759" s="36"/>
      <c r="AX759" s="19"/>
      <c r="AY759" s="37"/>
      <c r="AZ759" s="24"/>
      <c r="BA759" s="24"/>
    </row>
    <row r="760" spans="1:53" x14ac:dyDescent="0.25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38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39"/>
      <c r="AW760" s="39"/>
      <c r="AX760" s="26"/>
      <c r="AY760" s="41"/>
      <c r="AZ760" s="31"/>
      <c r="BA760" s="31"/>
    </row>
    <row r="761" spans="1:53" x14ac:dyDescent="0.25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35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36"/>
      <c r="AW761" s="36"/>
      <c r="AX761" s="19"/>
      <c r="AY761" s="37"/>
      <c r="AZ761" s="24"/>
      <c r="BA761" s="24"/>
    </row>
    <row r="762" spans="1:53" x14ac:dyDescent="0.25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38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39"/>
      <c r="AW762" s="39"/>
      <c r="AX762" s="26"/>
      <c r="AY762" s="41"/>
      <c r="AZ762" s="31"/>
      <c r="BA762" s="31"/>
    </row>
    <row r="763" spans="1:53" x14ac:dyDescent="0.25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35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36"/>
      <c r="AW763" s="36"/>
      <c r="AX763" s="19"/>
      <c r="AY763" s="37"/>
      <c r="AZ763" s="24"/>
      <c r="BA763" s="24"/>
    </row>
    <row r="764" spans="1:53" x14ac:dyDescent="0.25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38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39"/>
      <c r="AW764" s="39"/>
      <c r="AX764" s="26"/>
      <c r="AY764" s="41"/>
      <c r="AZ764" s="31"/>
      <c r="BA764" s="31"/>
    </row>
    <row r="765" spans="1:53" x14ac:dyDescent="0.2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35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36"/>
      <c r="AW765" s="36"/>
      <c r="AX765" s="19"/>
      <c r="AY765" s="37"/>
      <c r="AZ765" s="24"/>
      <c r="BA765" s="24"/>
    </row>
    <row r="766" spans="1:53" x14ac:dyDescent="0.25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38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39"/>
      <c r="AW766" s="39"/>
      <c r="AX766" s="26"/>
      <c r="AY766" s="41"/>
      <c r="AZ766" s="31"/>
      <c r="BA766" s="31"/>
    </row>
    <row r="767" spans="1:53" x14ac:dyDescent="0.25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35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36"/>
      <c r="AW767" s="36"/>
      <c r="AX767" s="19"/>
      <c r="AY767" s="37"/>
      <c r="AZ767" s="24"/>
      <c r="BA767" s="24"/>
    </row>
    <row r="768" spans="1:53" x14ac:dyDescent="0.25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38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39"/>
      <c r="AW768" s="39"/>
      <c r="AX768" s="26"/>
      <c r="AY768" s="41"/>
      <c r="AZ768" s="31"/>
      <c r="BA768" s="31"/>
    </row>
    <row r="769" spans="1:53" x14ac:dyDescent="0.25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35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36"/>
      <c r="AW769" s="36"/>
      <c r="AX769" s="19"/>
      <c r="AY769" s="37"/>
      <c r="AZ769" s="24"/>
      <c r="BA769" s="24"/>
    </row>
    <row r="770" spans="1:53" x14ac:dyDescent="0.25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38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39"/>
      <c r="AW770" s="39"/>
      <c r="AX770" s="26"/>
      <c r="AY770" s="41"/>
      <c r="AZ770" s="31"/>
      <c r="BA770" s="31"/>
    </row>
    <row r="771" spans="1:53" x14ac:dyDescent="0.25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35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36"/>
      <c r="AW771" s="36"/>
      <c r="AX771" s="19"/>
      <c r="AY771" s="37"/>
      <c r="AZ771" s="24"/>
      <c r="BA771" s="24"/>
    </row>
    <row r="772" spans="1:53" x14ac:dyDescent="0.25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38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39"/>
      <c r="AW772" s="39"/>
      <c r="AX772" s="26"/>
      <c r="AY772" s="41"/>
      <c r="AZ772" s="31"/>
      <c r="BA772" s="31"/>
    </row>
    <row r="773" spans="1:53" x14ac:dyDescent="0.25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35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36"/>
      <c r="AW773" s="36"/>
      <c r="AX773" s="19"/>
      <c r="AY773" s="37"/>
      <c r="AZ773" s="24"/>
      <c r="BA773" s="24"/>
    </row>
    <row r="774" spans="1:53" x14ac:dyDescent="0.25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38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39"/>
      <c r="AW774" s="39"/>
      <c r="AX774" s="26"/>
      <c r="AY774" s="41"/>
      <c r="AZ774" s="31"/>
      <c r="BA774" s="31"/>
    </row>
    <row r="775" spans="1:53" x14ac:dyDescent="0.2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35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36"/>
      <c r="AW775" s="36"/>
      <c r="AX775" s="19"/>
      <c r="AY775" s="37"/>
      <c r="AZ775" s="24"/>
      <c r="BA775" s="24"/>
    </row>
    <row r="776" spans="1:53" x14ac:dyDescent="0.25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38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39"/>
      <c r="AW776" s="39"/>
      <c r="AX776" s="26"/>
      <c r="AY776" s="41"/>
      <c r="AZ776" s="31"/>
      <c r="BA776" s="31"/>
    </row>
    <row r="777" spans="1:53" x14ac:dyDescent="0.25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35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36"/>
      <c r="AW777" s="36"/>
      <c r="AX777" s="19"/>
      <c r="AY777" s="37"/>
      <c r="AZ777" s="24"/>
      <c r="BA777" s="24"/>
    </row>
    <row r="778" spans="1:53" x14ac:dyDescent="0.25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38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39"/>
      <c r="AW778" s="39"/>
      <c r="AX778" s="26"/>
      <c r="AY778" s="41"/>
      <c r="AZ778" s="31"/>
      <c r="BA778" s="31"/>
    </row>
    <row r="779" spans="1:53" x14ac:dyDescent="0.25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35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36"/>
      <c r="AW779" s="36"/>
      <c r="AX779" s="19"/>
      <c r="AY779" s="37"/>
      <c r="AZ779" s="24"/>
      <c r="BA779" s="24"/>
    </row>
    <row r="780" spans="1:53" x14ac:dyDescent="0.25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38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39"/>
      <c r="AW780" s="39"/>
      <c r="AX780" s="26"/>
      <c r="AY780" s="41"/>
      <c r="AZ780" s="31"/>
      <c r="BA780" s="31"/>
    </row>
    <row r="781" spans="1:53" x14ac:dyDescent="0.25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35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36"/>
      <c r="AW781" s="36"/>
      <c r="AX781" s="19"/>
      <c r="AY781" s="37"/>
      <c r="AZ781" s="24"/>
      <c r="BA781" s="24"/>
    </row>
    <row r="782" spans="1:53" x14ac:dyDescent="0.25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38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39"/>
      <c r="AW782" s="39"/>
      <c r="AX782" s="26"/>
      <c r="AY782" s="41"/>
      <c r="AZ782" s="31"/>
      <c r="BA782" s="31"/>
    </row>
    <row r="783" spans="1:53" x14ac:dyDescent="0.25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35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36"/>
      <c r="AW783" s="36"/>
      <c r="AX783" s="19"/>
      <c r="AY783" s="37"/>
      <c r="AZ783" s="24"/>
      <c r="BA783" s="24"/>
    </row>
    <row r="784" spans="1:53" x14ac:dyDescent="0.25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38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39"/>
      <c r="AW784" s="39"/>
      <c r="AX784" s="26"/>
      <c r="AY784" s="41"/>
      <c r="AZ784" s="31"/>
      <c r="BA784" s="31"/>
    </row>
    <row r="785" spans="1:53" x14ac:dyDescent="0.2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35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36"/>
      <c r="AW785" s="36"/>
      <c r="AX785" s="19"/>
      <c r="AY785" s="37"/>
      <c r="AZ785" s="24"/>
      <c r="BA785" s="24"/>
    </row>
    <row r="786" spans="1:53" x14ac:dyDescent="0.25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38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39"/>
      <c r="AW786" s="39"/>
      <c r="AX786" s="26"/>
      <c r="AY786" s="41"/>
      <c r="AZ786" s="31"/>
      <c r="BA786" s="31"/>
    </row>
    <row r="787" spans="1:53" x14ac:dyDescent="0.25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35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36"/>
      <c r="AW787" s="36"/>
      <c r="AX787" s="19"/>
      <c r="AY787" s="37"/>
      <c r="AZ787" s="24"/>
      <c r="BA787" s="24"/>
    </row>
    <row r="788" spans="1:53" x14ac:dyDescent="0.25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38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39"/>
      <c r="AW788" s="39"/>
      <c r="AX788" s="26"/>
      <c r="AY788" s="41"/>
      <c r="AZ788" s="31"/>
      <c r="BA788" s="31"/>
    </row>
    <row r="789" spans="1:53" x14ac:dyDescent="0.25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35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36"/>
      <c r="AW789" s="36"/>
      <c r="AX789" s="19"/>
      <c r="AY789" s="37"/>
      <c r="AZ789" s="24"/>
      <c r="BA789" s="24"/>
    </row>
    <row r="790" spans="1:53" x14ac:dyDescent="0.25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38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39"/>
      <c r="AW790" s="39"/>
      <c r="AX790" s="26"/>
      <c r="AY790" s="41"/>
      <c r="AZ790" s="31"/>
      <c r="BA790" s="31"/>
    </row>
    <row r="791" spans="1:53" x14ac:dyDescent="0.25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35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36"/>
      <c r="AW791" s="36"/>
      <c r="AX791" s="19"/>
      <c r="AY791" s="37"/>
      <c r="AZ791" s="24"/>
      <c r="BA791" s="24"/>
    </row>
    <row r="792" spans="1:53" x14ac:dyDescent="0.25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38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39"/>
      <c r="AW792" s="39"/>
      <c r="AX792" s="26"/>
      <c r="AY792" s="41"/>
      <c r="AZ792" s="31"/>
      <c r="BA792" s="31"/>
    </row>
    <row r="793" spans="1:53" x14ac:dyDescent="0.25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35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36"/>
      <c r="AW793" s="36"/>
      <c r="AX793" s="19"/>
      <c r="AY793" s="37"/>
      <c r="AZ793" s="24"/>
      <c r="BA793" s="24"/>
    </row>
    <row r="794" spans="1:53" x14ac:dyDescent="0.25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38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39"/>
      <c r="AW794" s="39"/>
      <c r="AX794" s="26"/>
      <c r="AY794" s="41"/>
      <c r="AZ794" s="31"/>
      <c r="BA794" s="31"/>
    </row>
    <row r="795" spans="1:53" x14ac:dyDescent="0.2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35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36"/>
      <c r="AW795" s="36"/>
      <c r="AX795" s="19"/>
      <c r="AY795" s="37"/>
      <c r="AZ795" s="24"/>
      <c r="BA795" s="24"/>
    </row>
    <row r="796" spans="1:53" x14ac:dyDescent="0.25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38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39"/>
      <c r="AW796" s="39"/>
      <c r="AX796" s="26"/>
      <c r="AY796" s="41"/>
      <c r="AZ796" s="31"/>
      <c r="BA796" s="31"/>
    </row>
    <row r="797" spans="1:53" x14ac:dyDescent="0.25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35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36"/>
      <c r="AW797" s="36"/>
      <c r="AX797" s="19"/>
      <c r="AY797" s="37"/>
      <c r="AZ797" s="24"/>
      <c r="BA797" s="24"/>
    </row>
    <row r="798" spans="1:53" x14ac:dyDescent="0.25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38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39"/>
      <c r="AW798" s="39"/>
      <c r="AX798" s="26"/>
      <c r="AY798" s="41"/>
      <c r="AZ798" s="31"/>
      <c r="BA798" s="31"/>
    </row>
    <row r="799" spans="1:53" x14ac:dyDescent="0.25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35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36"/>
      <c r="AW799" s="36"/>
      <c r="AX799" s="19"/>
      <c r="AY799" s="37"/>
      <c r="AZ799" s="24"/>
      <c r="BA799" s="24"/>
    </row>
    <row r="800" spans="1:53" x14ac:dyDescent="0.25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38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39"/>
      <c r="AW800" s="39"/>
      <c r="AX800" s="26"/>
      <c r="AY800" s="41"/>
      <c r="AZ800" s="31"/>
      <c r="BA800" s="31"/>
    </row>
    <row r="801" spans="1:53" x14ac:dyDescent="0.25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35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36"/>
      <c r="AW801" s="36"/>
      <c r="AX801" s="19"/>
      <c r="AY801" s="37"/>
      <c r="AZ801" s="24"/>
      <c r="BA801" s="24"/>
    </row>
    <row r="802" spans="1:53" x14ac:dyDescent="0.25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38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39"/>
      <c r="AW802" s="39"/>
      <c r="AX802" s="26"/>
      <c r="AY802" s="41"/>
      <c r="AZ802" s="31"/>
      <c r="BA802" s="31"/>
    </row>
    <row r="803" spans="1:53" x14ac:dyDescent="0.25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35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36"/>
      <c r="AW803" s="36"/>
      <c r="AX803" s="19"/>
      <c r="AY803" s="37"/>
      <c r="AZ803" s="24"/>
      <c r="BA803" s="24"/>
    </row>
    <row r="804" spans="1:53" x14ac:dyDescent="0.25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38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39"/>
      <c r="AW804" s="39"/>
      <c r="AX804" s="26"/>
      <c r="AY804" s="41"/>
      <c r="AZ804" s="31"/>
      <c r="BA804" s="31"/>
    </row>
    <row r="805" spans="1:53" x14ac:dyDescent="0.2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35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36"/>
      <c r="AW805" s="36"/>
      <c r="AX805" s="19"/>
      <c r="AY805" s="37"/>
      <c r="AZ805" s="24"/>
      <c r="BA805" s="24"/>
    </row>
    <row r="806" spans="1:53" x14ac:dyDescent="0.25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38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39"/>
      <c r="AW806" s="39"/>
      <c r="AX806" s="26"/>
      <c r="AY806" s="41"/>
      <c r="AZ806" s="31"/>
      <c r="BA806" s="31"/>
    </row>
    <row r="807" spans="1:53" x14ac:dyDescent="0.25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35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36"/>
      <c r="AW807" s="36"/>
      <c r="AX807" s="19"/>
      <c r="AY807" s="37"/>
      <c r="AZ807" s="24"/>
      <c r="BA807" s="24"/>
    </row>
    <row r="808" spans="1:53" x14ac:dyDescent="0.25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38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39"/>
      <c r="AW808" s="39"/>
      <c r="AX808" s="26"/>
      <c r="AY808" s="41"/>
      <c r="AZ808" s="31"/>
      <c r="BA808" s="31"/>
    </row>
    <row r="809" spans="1:53" x14ac:dyDescent="0.25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35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36"/>
      <c r="AW809" s="36"/>
      <c r="AX809" s="19"/>
      <c r="AY809" s="37"/>
      <c r="AZ809" s="24"/>
      <c r="BA809" s="24"/>
    </row>
    <row r="810" spans="1:53" x14ac:dyDescent="0.25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38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39"/>
      <c r="AW810" s="39"/>
      <c r="AX810" s="26"/>
      <c r="AY810" s="41"/>
      <c r="AZ810" s="31"/>
      <c r="BA810" s="31"/>
    </row>
    <row r="811" spans="1:53" x14ac:dyDescent="0.25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35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36"/>
      <c r="AW811" s="36"/>
      <c r="AX811" s="19"/>
      <c r="AY811" s="37"/>
      <c r="AZ811" s="24"/>
      <c r="BA811" s="24"/>
    </row>
    <row r="812" spans="1:53" x14ac:dyDescent="0.25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38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39"/>
      <c r="AW812" s="39"/>
      <c r="AX812" s="26"/>
      <c r="AY812" s="41"/>
      <c r="AZ812" s="31"/>
      <c r="BA812" s="31"/>
    </row>
    <row r="813" spans="1:53" x14ac:dyDescent="0.25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35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36"/>
      <c r="AW813" s="36"/>
      <c r="AX813" s="19"/>
      <c r="AY813" s="37"/>
      <c r="AZ813" s="24"/>
      <c r="BA813" s="24"/>
    </row>
    <row r="814" spans="1:53" x14ac:dyDescent="0.25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38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39"/>
      <c r="AW814" s="39"/>
      <c r="AX814" s="26"/>
      <c r="AY814" s="41"/>
      <c r="AZ814" s="31"/>
      <c r="BA814" s="31"/>
    </row>
    <row r="815" spans="1:53" x14ac:dyDescent="0.2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35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36"/>
      <c r="AW815" s="36"/>
      <c r="AX815" s="19"/>
      <c r="AY815" s="37"/>
      <c r="AZ815" s="24"/>
      <c r="BA815" s="24"/>
    </row>
    <row r="816" spans="1:53" x14ac:dyDescent="0.25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38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39"/>
      <c r="AW816" s="39"/>
      <c r="AX816" s="26"/>
      <c r="AY816" s="41"/>
      <c r="AZ816" s="31"/>
      <c r="BA816" s="31"/>
    </row>
    <row r="817" spans="1:53" x14ac:dyDescent="0.25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35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36"/>
      <c r="AW817" s="36"/>
      <c r="AX817" s="19"/>
      <c r="AY817" s="37"/>
      <c r="AZ817" s="24"/>
      <c r="BA817" s="24"/>
    </row>
    <row r="818" spans="1:53" x14ac:dyDescent="0.25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38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39"/>
      <c r="AW818" s="39"/>
      <c r="AX818" s="26"/>
      <c r="AY818" s="41"/>
      <c r="AZ818" s="31"/>
      <c r="BA818" s="31"/>
    </row>
    <row r="819" spans="1:53" x14ac:dyDescent="0.25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35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36"/>
      <c r="AW819" s="36"/>
      <c r="AX819" s="19"/>
      <c r="AY819" s="37"/>
      <c r="AZ819" s="24"/>
      <c r="BA819" s="24"/>
    </row>
    <row r="820" spans="1:53" x14ac:dyDescent="0.25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38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39"/>
      <c r="AW820" s="39"/>
      <c r="AX820" s="26"/>
      <c r="AY820" s="41"/>
      <c r="AZ820" s="31"/>
      <c r="BA820" s="31"/>
    </row>
    <row r="821" spans="1:53" x14ac:dyDescent="0.25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35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36"/>
      <c r="AW821" s="36"/>
      <c r="AX821" s="19"/>
      <c r="AY821" s="37"/>
      <c r="AZ821" s="24"/>
      <c r="BA821" s="24"/>
    </row>
    <row r="822" spans="1:53" x14ac:dyDescent="0.25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38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39"/>
      <c r="AW822" s="39"/>
      <c r="AX822" s="26"/>
      <c r="AY822" s="41"/>
      <c r="AZ822" s="31"/>
      <c r="BA822" s="31"/>
    </row>
    <row r="823" spans="1:53" x14ac:dyDescent="0.25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35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36"/>
      <c r="AW823" s="36"/>
      <c r="AX823" s="19"/>
      <c r="AY823" s="37"/>
      <c r="AZ823" s="24"/>
      <c r="BA823" s="24"/>
    </row>
    <row r="824" spans="1:53" x14ac:dyDescent="0.25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38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39"/>
      <c r="AW824" s="39"/>
      <c r="AX824" s="26"/>
      <c r="AY824" s="41"/>
      <c r="AZ824" s="31"/>
      <c r="BA824" s="31"/>
    </row>
    <row r="825" spans="1:53" x14ac:dyDescent="0.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35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36"/>
      <c r="AW825" s="36"/>
      <c r="AX825" s="19"/>
      <c r="AY825" s="37"/>
      <c r="AZ825" s="24"/>
      <c r="BA825" s="24"/>
    </row>
    <row r="826" spans="1:53" x14ac:dyDescent="0.25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38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39"/>
      <c r="AW826" s="39"/>
      <c r="AX826" s="26"/>
      <c r="AY826" s="41"/>
      <c r="AZ826" s="31"/>
      <c r="BA826" s="31"/>
    </row>
    <row r="827" spans="1:53" x14ac:dyDescent="0.25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35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36"/>
      <c r="AW827" s="36"/>
      <c r="AX827" s="19"/>
      <c r="AY827" s="37"/>
      <c r="AZ827" s="24"/>
      <c r="BA827" s="24"/>
    </row>
    <row r="828" spans="1:53" x14ac:dyDescent="0.25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38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39"/>
      <c r="AW828" s="39"/>
      <c r="AX828" s="26"/>
      <c r="AY828" s="41"/>
      <c r="AZ828" s="31"/>
      <c r="BA828" s="31"/>
    </row>
    <row r="829" spans="1:53" x14ac:dyDescent="0.25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35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36"/>
      <c r="AW829" s="36"/>
      <c r="AX829" s="19"/>
      <c r="AY829" s="37"/>
      <c r="AZ829" s="24"/>
      <c r="BA829" s="24"/>
    </row>
    <row r="830" spans="1:53" x14ac:dyDescent="0.25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38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39"/>
      <c r="AW830" s="39"/>
      <c r="AX830" s="26"/>
      <c r="AY830" s="41"/>
      <c r="AZ830" s="31"/>
      <c r="BA830" s="31"/>
    </row>
    <row r="831" spans="1:53" x14ac:dyDescent="0.25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35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36"/>
      <c r="AW831" s="36"/>
      <c r="AX831" s="19"/>
      <c r="AY831" s="37"/>
      <c r="AZ831" s="24"/>
      <c r="BA831" s="24"/>
    </row>
    <row r="832" spans="1:53" x14ac:dyDescent="0.25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38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39"/>
      <c r="AW832" s="39"/>
      <c r="AX832" s="26"/>
      <c r="AY832" s="41"/>
      <c r="AZ832" s="31"/>
      <c r="BA832" s="31"/>
    </row>
    <row r="833" spans="1:53" x14ac:dyDescent="0.25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35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36"/>
      <c r="AW833" s="36"/>
      <c r="AX833" s="19"/>
      <c r="AY833" s="37"/>
      <c r="AZ833" s="24"/>
      <c r="BA833" s="24"/>
    </row>
    <row r="834" spans="1:53" x14ac:dyDescent="0.25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38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39"/>
      <c r="AW834" s="39"/>
      <c r="AX834" s="26"/>
      <c r="AY834" s="41"/>
      <c r="AZ834" s="31"/>
      <c r="BA834" s="31"/>
    </row>
    <row r="835" spans="1:53" x14ac:dyDescent="0.2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35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36"/>
      <c r="AW835" s="36"/>
      <c r="AX835" s="19"/>
      <c r="AY835" s="37"/>
      <c r="AZ835" s="24"/>
      <c r="BA835" s="24"/>
    </row>
    <row r="836" spans="1:53" x14ac:dyDescent="0.25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38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39"/>
      <c r="AW836" s="39"/>
      <c r="AX836" s="26"/>
      <c r="AY836" s="41"/>
      <c r="AZ836" s="31"/>
      <c r="BA836" s="31"/>
    </row>
    <row r="837" spans="1:53" x14ac:dyDescent="0.25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35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36"/>
      <c r="AW837" s="36"/>
      <c r="AX837" s="19"/>
      <c r="AY837" s="37"/>
      <c r="AZ837" s="24"/>
      <c r="BA837" s="24"/>
    </row>
    <row r="838" spans="1:53" x14ac:dyDescent="0.25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38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39"/>
      <c r="AW838" s="39"/>
      <c r="AX838" s="26"/>
      <c r="AY838" s="41"/>
      <c r="AZ838" s="31"/>
      <c r="BA838" s="31"/>
    </row>
    <row r="839" spans="1:53" x14ac:dyDescent="0.25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35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36"/>
      <c r="AW839" s="36"/>
      <c r="AX839" s="19"/>
      <c r="AY839" s="37"/>
      <c r="AZ839" s="24"/>
      <c r="BA839" s="24"/>
    </row>
    <row r="840" spans="1:53" x14ac:dyDescent="0.25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38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39"/>
      <c r="AW840" s="39"/>
      <c r="AX840" s="26"/>
      <c r="AY840" s="41"/>
      <c r="AZ840" s="31"/>
      <c r="BA840" s="31"/>
    </row>
    <row r="841" spans="1:53" x14ac:dyDescent="0.25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35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36"/>
      <c r="AW841" s="36"/>
      <c r="AX841" s="19"/>
      <c r="AY841" s="37"/>
      <c r="AZ841" s="24"/>
      <c r="BA841" s="24"/>
    </row>
    <row r="842" spans="1:53" x14ac:dyDescent="0.25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38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39"/>
      <c r="AW842" s="39"/>
      <c r="AX842" s="26"/>
      <c r="AY842" s="41"/>
      <c r="AZ842" s="31"/>
      <c r="BA842" s="31"/>
    </row>
    <row r="843" spans="1:53" x14ac:dyDescent="0.25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35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36"/>
      <c r="AW843" s="36"/>
      <c r="AX843" s="19"/>
      <c r="AY843" s="37"/>
      <c r="AZ843" s="24"/>
      <c r="BA843" s="24"/>
    </row>
    <row r="844" spans="1:53" x14ac:dyDescent="0.25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38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39"/>
      <c r="AW844" s="39"/>
      <c r="AX844" s="26"/>
      <c r="AY844" s="41"/>
      <c r="AZ844" s="31"/>
      <c r="BA844" s="31"/>
    </row>
    <row r="845" spans="1:53" x14ac:dyDescent="0.2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35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36"/>
      <c r="AW845" s="36"/>
      <c r="AX845" s="19"/>
      <c r="AY845" s="37"/>
      <c r="AZ845" s="24"/>
      <c r="BA845" s="24"/>
    </row>
    <row r="846" spans="1:53" x14ac:dyDescent="0.25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38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39"/>
      <c r="AW846" s="39"/>
      <c r="AX846" s="26"/>
      <c r="AY846" s="41"/>
      <c r="AZ846" s="31"/>
      <c r="BA846" s="31"/>
    </row>
    <row r="847" spans="1:53" x14ac:dyDescent="0.25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35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36"/>
      <c r="AW847" s="36"/>
      <c r="AX847" s="19"/>
      <c r="AY847" s="37"/>
      <c r="AZ847" s="24"/>
      <c r="BA847" s="24"/>
    </row>
    <row r="848" spans="1:53" x14ac:dyDescent="0.25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38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39"/>
      <c r="AW848" s="39"/>
      <c r="AX848" s="26"/>
      <c r="AY848" s="41"/>
      <c r="AZ848" s="31"/>
      <c r="BA848" s="31"/>
    </row>
    <row r="849" spans="1:53" x14ac:dyDescent="0.25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35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36"/>
      <c r="AW849" s="36"/>
      <c r="AX849" s="19"/>
      <c r="AY849" s="37"/>
      <c r="AZ849" s="24"/>
      <c r="BA849" s="24"/>
    </row>
    <row r="850" spans="1:53" x14ac:dyDescent="0.25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38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39"/>
      <c r="AW850" s="39"/>
      <c r="AX850" s="26"/>
      <c r="AY850" s="41"/>
      <c r="AZ850" s="31"/>
      <c r="BA850" s="31"/>
    </row>
    <row r="851" spans="1:53" x14ac:dyDescent="0.25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35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36"/>
      <c r="AW851" s="36"/>
      <c r="AX851" s="19"/>
      <c r="AY851" s="37"/>
      <c r="AZ851" s="24"/>
      <c r="BA851" s="24"/>
    </row>
    <row r="852" spans="1:53" x14ac:dyDescent="0.25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38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39"/>
      <c r="AW852" s="39"/>
      <c r="AX852" s="26"/>
      <c r="AY852" s="41"/>
      <c r="AZ852" s="31"/>
      <c r="BA852" s="31"/>
    </row>
    <row r="853" spans="1:53" x14ac:dyDescent="0.25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35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36"/>
      <c r="AW853" s="36"/>
      <c r="AX853" s="19"/>
      <c r="AY853" s="37"/>
      <c r="AZ853" s="24"/>
      <c r="BA853" s="24"/>
    </row>
    <row r="854" spans="1:53" x14ac:dyDescent="0.25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38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39"/>
      <c r="AW854" s="39"/>
      <c r="AX854" s="26"/>
      <c r="AY854" s="41"/>
      <c r="AZ854" s="31"/>
      <c r="BA854" s="31"/>
    </row>
    <row r="855" spans="1:53" x14ac:dyDescent="0.2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35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36"/>
      <c r="AW855" s="36"/>
      <c r="AX855" s="19"/>
      <c r="AY855" s="37"/>
      <c r="AZ855" s="24"/>
      <c r="BA855" s="24"/>
    </row>
    <row r="856" spans="1:53" x14ac:dyDescent="0.25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38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39"/>
      <c r="AW856" s="39"/>
      <c r="AX856" s="26"/>
      <c r="AY856" s="41"/>
      <c r="AZ856" s="31"/>
      <c r="BA856" s="31"/>
    </row>
    <row r="857" spans="1:53" x14ac:dyDescent="0.25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35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36"/>
      <c r="AW857" s="36"/>
      <c r="AX857" s="19"/>
      <c r="AY857" s="37"/>
      <c r="AZ857" s="24"/>
      <c r="BA857" s="24"/>
    </row>
    <row r="858" spans="1:53" x14ac:dyDescent="0.25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38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39"/>
      <c r="AW858" s="39"/>
      <c r="AX858" s="26"/>
      <c r="AY858" s="41"/>
      <c r="AZ858" s="31"/>
      <c r="BA858" s="31"/>
    </row>
    <row r="859" spans="1:53" x14ac:dyDescent="0.25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35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36"/>
      <c r="AW859" s="36"/>
      <c r="AX859" s="19"/>
      <c r="AY859" s="37"/>
      <c r="AZ859" s="24"/>
      <c r="BA859" s="24"/>
    </row>
    <row r="860" spans="1:53" x14ac:dyDescent="0.25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38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39"/>
      <c r="AW860" s="39"/>
      <c r="AX860" s="26"/>
      <c r="AY860" s="41"/>
      <c r="AZ860" s="31"/>
      <c r="BA860" s="31"/>
    </row>
    <row r="861" spans="1:53" x14ac:dyDescent="0.25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35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36"/>
      <c r="AW861" s="36"/>
      <c r="AX861" s="19"/>
      <c r="AY861" s="37"/>
      <c r="AZ861" s="24"/>
      <c r="BA861" s="24"/>
    </row>
    <row r="862" spans="1:53" x14ac:dyDescent="0.25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38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39"/>
      <c r="AW862" s="39"/>
      <c r="AX862" s="26"/>
      <c r="AY862" s="41"/>
      <c r="AZ862" s="31"/>
      <c r="BA862" s="31"/>
    </row>
    <row r="863" spans="1:53" x14ac:dyDescent="0.25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35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36"/>
      <c r="AW863" s="36"/>
      <c r="AX863" s="19"/>
      <c r="AY863" s="37"/>
      <c r="AZ863" s="24"/>
      <c r="BA863" s="24"/>
    </row>
    <row r="864" spans="1:53" x14ac:dyDescent="0.25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38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39"/>
      <c r="AW864" s="39"/>
      <c r="AX864" s="26"/>
      <c r="AY864" s="41"/>
      <c r="AZ864" s="31"/>
      <c r="BA864" s="31"/>
    </row>
    <row r="865" spans="1:53" x14ac:dyDescent="0.2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35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36"/>
      <c r="AW865" s="36"/>
      <c r="AX865" s="19"/>
      <c r="AY865" s="37"/>
      <c r="AZ865" s="24"/>
      <c r="BA865" s="24"/>
    </row>
    <row r="866" spans="1:53" x14ac:dyDescent="0.25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38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39"/>
      <c r="AW866" s="39"/>
      <c r="AX866" s="26"/>
      <c r="AY866" s="41"/>
      <c r="AZ866" s="31"/>
      <c r="BA866" s="31"/>
    </row>
    <row r="867" spans="1:53" x14ac:dyDescent="0.25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35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36"/>
      <c r="AW867" s="36"/>
      <c r="AX867" s="19"/>
      <c r="AY867" s="37"/>
      <c r="AZ867" s="24"/>
      <c r="BA867" s="24"/>
    </row>
    <row r="868" spans="1:53" x14ac:dyDescent="0.25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38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39"/>
      <c r="AW868" s="39"/>
      <c r="AX868" s="26"/>
      <c r="AY868" s="41"/>
      <c r="AZ868" s="31"/>
      <c r="BA868" s="31"/>
    </row>
    <row r="869" spans="1:53" x14ac:dyDescent="0.25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35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36"/>
      <c r="AW869" s="36"/>
      <c r="AX869" s="19"/>
      <c r="AY869" s="37"/>
      <c r="AZ869" s="24"/>
      <c r="BA869" s="24"/>
    </row>
    <row r="870" spans="1:53" x14ac:dyDescent="0.25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38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39"/>
      <c r="AW870" s="39"/>
      <c r="AX870" s="26"/>
      <c r="AY870" s="41"/>
      <c r="AZ870" s="31"/>
      <c r="BA870" s="31"/>
    </row>
    <row r="871" spans="1:53" x14ac:dyDescent="0.25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35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36"/>
      <c r="AW871" s="36"/>
      <c r="AX871" s="19"/>
      <c r="AY871" s="37"/>
      <c r="AZ871" s="24"/>
      <c r="BA871" s="24"/>
    </row>
    <row r="872" spans="1:53" x14ac:dyDescent="0.25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38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39"/>
      <c r="AW872" s="39"/>
      <c r="AX872" s="26"/>
      <c r="AY872" s="41"/>
      <c r="AZ872" s="31"/>
      <c r="BA872" s="31"/>
    </row>
    <row r="873" spans="1:53" x14ac:dyDescent="0.25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35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36"/>
      <c r="AW873" s="36"/>
      <c r="AX873" s="19"/>
      <c r="AY873" s="37"/>
      <c r="AZ873" s="24"/>
      <c r="BA873" s="24"/>
    </row>
    <row r="874" spans="1:53" x14ac:dyDescent="0.25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38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39"/>
      <c r="AW874" s="39"/>
      <c r="AX874" s="26"/>
      <c r="AY874" s="41"/>
      <c r="AZ874" s="31"/>
      <c r="BA874" s="31"/>
    </row>
    <row r="875" spans="1:53" x14ac:dyDescent="0.2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35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36"/>
      <c r="AW875" s="36"/>
      <c r="AX875" s="19"/>
      <c r="AY875" s="37"/>
      <c r="AZ875" s="24"/>
      <c r="BA875" s="24"/>
    </row>
    <row r="876" spans="1:53" x14ac:dyDescent="0.25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38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39"/>
      <c r="AW876" s="39"/>
      <c r="AX876" s="26"/>
      <c r="AY876" s="41"/>
      <c r="AZ876" s="31"/>
      <c r="BA876" s="31"/>
    </row>
    <row r="877" spans="1:53" x14ac:dyDescent="0.25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35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36"/>
      <c r="AW877" s="36"/>
      <c r="AX877" s="19"/>
      <c r="AY877" s="37"/>
      <c r="AZ877" s="24"/>
      <c r="BA877" s="24"/>
    </row>
    <row r="878" spans="1:53" x14ac:dyDescent="0.25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38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39"/>
      <c r="AW878" s="39"/>
      <c r="AX878" s="26"/>
      <c r="AY878" s="41"/>
      <c r="AZ878" s="31"/>
      <c r="BA878" s="31"/>
    </row>
    <row r="879" spans="1:53" x14ac:dyDescent="0.25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35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36"/>
      <c r="AW879" s="36"/>
      <c r="AX879" s="19"/>
      <c r="AY879" s="37"/>
      <c r="AZ879" s="24"/>
      <c r="BA879" s="24"/>
    </row>
    <row r="880" spans="1:53" x14ac:dyDescent="0.25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38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39"/>
      <c r="AW880" s="39"/>
      <c r="AX880" s="26"/>
      <c r="AY880" s="41"/>
      <c r="AZ880" s="31"/>
      <c r="BA880" s="31"/>
    </row>
    <row r="881" spans="1:53" x14ac:dyDescent="0.25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35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36"/>
      <c r="AW881" s="36"/>
      <c r="AX881" s="19"/>
      <c r="AY881" s="37"/>
      <c r="AZ881" s="24"/>
      <c r="BA881" s="24"/>
    </row>
    <row r="882" spans="1:53" x14ac:dyDescent="0.25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38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39"/>
      <c r="AW882" s="39"/>
      <c r="AX882" s="26"/>
      <c r="AY882" s="41"/>
      <c r="AZ882" s="31"/>
      <c r="BA882" s="31"/>
    </row>
    <row r="883" spans="1:53" x14ac:dyDescent="0.25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35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36"/>
      <c r="AW883" s="36"/>
      <c r="AX883" s="19"/>
      <c r="AY883" s="37"/>
      <c r="AZ883" s="24"/>
      <c r="BA883" s="24"/>
    </row>
    <row r="884" spans="1:53" x14ac:dyDescent="0.25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38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39"/>
      <c r="AW884" s="39"/>
      <c r="AX884" s="26"/>
      <c r="AY884" s="41"/>
      <c r="AZ884" s="31"/>
      <c r="BA884" s="31"/>
    </row>
    <row r="885" spans="1:53" x14ac:dyDescent="0.2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35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36"/>
      <c r="AW885" s="36"/>
      <c r="AX885" s="19"/>
      <c r="AY885" s="37"/>
      <c r="AZ885" s="24"/>
      <c r="BA885" s="24"/>
    </row>
    <row r="886" spans="1:53" x14ac:dyDescent="0.25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38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39"/>
      <c r="AW886" s="39"/>
      <c r="AX886" s="26"/>
      <c r="AY886" s="41"/>
      <c r="AZ886" s="31"/>
      <c r="BA886" s="31"/>
    </row>
    <row r="887" spans="1:53" x14ac:dyDescent="0.25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35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36"/>
      <c r="AW887" s="36"/>
      <c r="AX887" s="19"/>
      <c r="AY887" s="37"/>
      <c r="AZ887" s="24"/>
      <c r="BA887" s="24"/>
    </row>
    <row r="888" spans="1:53" x14ac:dyDescent="0.25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38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39"/>
      <c r="AW888" s="39"/>
      <c r="AX888" s="26"/>
      <c r="AY888" s="41"/>
      <c r="AZ888" s="31"/>
      <c r="BA888" s="31"/>
    </row>
    <row r="889" spans="1:53" x14ac:dyDescent="0.25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35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36"/>
      <c r="AW889" s="36"/>
      <c r="AX889" s="19"/>
      <c r="AY889" s="37"/>
      <c r="AZ889" s="24"/>
      <c r="BA889" s="24"/>
    </row>
    <row r="890" spans="1:53" x14ac:dyDescent="0.25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38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39"/>
      <c r="AW890" s="39"/>
      <c r="AX890" s="26"/>
      <c r="AY890" s="41"/>
      <c r="AZ890" s="31"/>
      <c r="BA890" s="31"/>
    </row>
    <row r="891" spans="1:53" x14ac:dyDescent="0.25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35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36"/>
      <c r="AW891" s="36"/>
      <c r="AX891" s="19"/>
      <c r="AY891" s="37"/>
      <c r="AZ891" s="24"/>
      <c r="BA891" s="24"/>
    </row>
    <row r="892" spans="1:53" x14ac:dyDescent="0.25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38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39"/>
      <c r="AW892" s="39"/>
      <c r="AX892" s="26"/>
      <c r="AY892" s="41"/>
      <c r="AZ892" s="31"/>
      <c r="BA892" s="31"/>
    </row>
    <row r="893" spans="1:53" x14ac:dyDescent="0.25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35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36"/>
      <c r="AW893" s="36"/>
      <c r="AX893" s="19"/>
      <c r="AY893" s="37"/>
      <c r="AZ893" s="24"/>
      <c r="BA893" s="24"/>
    </row>
    <row r="894" spans="1:53" x14ac:dyDescent="0.25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38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39"/>
      <c r="AW894" s="39"/>
      <c r="AX894" s="26"/>
      <c r="AY894" s="41"/>
      <c r="AZ894" s="31"/>
      <c r="BA894" s="31"/>
    </row>
    <row r="895" spans="1:53" x14ac:dyDescent="0.2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35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36"/>
      <c r="AW895" s="36"/>
      <c r="AX895" s="19"/>
      <c r="AY895" s="37"/>
      <c r="AZ895" s="24"/>
      <c r="BA895" s="24"/>
    </row>
    <row r="896" spans="1:53" x14ac:dyDescent="0.25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38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39"/>
      <c r="AW896" s="39"/>
      <c r="AX896" s="26"/>
      <c r="AY896" s="41"/>
      <c r="AZ896" s="31"/>
      <c r="BA896" s="31"/>
    </row>
    <row r="897" spans="1:53" x14ac:dyDescent="0.25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35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36"/>
      <c r="AW897" s="36"/>
      <c r="AX897" s="19"/>
      <c r="AY897" s="37"/>
      <c r="AZ897" s="24"/>
      <c r="BA897" s="24"/>
    </row>
    <row r="898" spans="1:53" x14ac:dyDescent="0.25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38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39"/>
      <c r="AW898" s="39"/>
      <c r="AX898" s="26"/>
      <c r="AY898" s="41"/>
      <c r="AZ898" s="31"/>
      <c r="BA898" s="31"/>
    </row>
    <row r="899" spans="1:53" x14ac:dyDescent="0.25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35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36"/>
      <c r="AW899" s="36"/>
      <c r="AX899" s="19"/>
      <c r="AY899" s="37"/>
      <c r="AZ899" s="24"/>
      <c r="BA899" s="24"/>
    </row>
    <row r="900" spans="1:53" x14ac:dyDescent="0.25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38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39"/>
      <c r="AW900" s="39"/>
      <c r="AX900" s="26"/>
      <c r="AY900" s="41"/>
      <c r="AZ900" s="31"/>
      <c r="BA900" s="31"/>
    </row>
    <row r="901" spans="1:53" x14ac:dyDescent="0.25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35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36"/>
      <c r="AW901" s="36"/>
      <c r="AX901" s="19"/>
      <c r="AY901" s="37"/>
      <c r="AZ901" s="24"/>
      <c r="BA901" s="24"/>
    </row>
    <row r="902" spans="1:53" x14ac:dyDescent="0.25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38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39"/>
      <c r="AW902" s="39"/>
      <c r="AX902" s="26"/>
      <c r="AY902" s="41"/>
      <c r="AZ902" s="31"/>
      <c r="BA902" s="31"/>
    </row>
    <row r="903" spans="1:53" x14ac:dyDescent="0.25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35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36"/>
      <c r="AW903" s="36"/>
      <c r="AX903" s="19"/>
      <c r="AY903" s="37"/>
      <c r="AZ903" s="24"/>
      <c r="BA903" s="24"/>
    </row>
    <row r="904" spans="1:53" x14ac:dyDescent="0.25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38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39"/>
      <c r="AW904" s="39"/>
      <c r="AX904" s="26"/>
      <c r="AY904" s="41"/>
      <c r="AZ904" s="31"/>
      <c r="BA904" s="31"/>
    </row>
    <row r="905" spans="1:53" x14ac:dyDescent="0.2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35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36"/>
      <c r="AW905" s="36"/>
      <c r="AX905" s="19"/>
      <c r="AY905" s="37"/>
      <c r="AZ905" s="24"/>
      <c r="BA905" s="24"/>
    </row>
    <row r="906" spans="1:53" x14ac:dyDescent="0.25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38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39"/>
      <c r="AW906" s="39"/>
      <c r="AX906" s="26"/>
      <c r="AY906" s="41"/>
      <c r="AZ906" s="31"/>
      <c r="BA906" s="31"/>
    </row>
    <row r="907" spans="1:53" x14ac:dyDescent="0.25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35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36"/>
      <c r="AW907" s="36"/>
      <c r="AX907" s="19"/>
      <c r="AY907" s="37"/>
      <c r="AZ907" s="24"/>
      <c r="BA907" s="24"/>
    </row>
    <row r="908" spans="1:53" x14ac:dyDescent="0.25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38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39"/>
      <c r="AW908" s="39"/>
      <c r="AX908" s="26"/>
      <c r="AY908" s="41"/>
      <c r="AZ908" s="31"/>
      <c r="BA908" s="31"/>
    </row>
    <row r="909" spans="1:53" x14ac:dyDescent="0.25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35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36"/>
      <c r="AW909" s="36"/>
      <c r="AX909" s="19"/>
      <c r="AY909" s="37"/>
      <c r="AZ909" s="24"/>
      <c r="BA909" s="24"/>
    </row>
    <row r="910" spans="1:53" x14ac:dyDescent="0.25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38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39"/>
      <c r="AW910" s="39"/>
      <c r="AX910" s="26"/>
      <c r="AY910" s="41"/>
      <c r="AZ910" s="31"/>
      <c r="BA910" s="31"/>
    </row>
    <row r="911" spans="1:53" x14ac:dyDescent="0.25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35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36"/>
      <c r="AW911" s="36"/>
      <c r="AX911" s="19"/>
      <c r="AY911" s="37"/>
      <c r="AZ911" s="24"/>
      <c r="BA911" s="24"/>
    </row>
    <row r="912" spans="1:53" x14ac:dyDescent="0.25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38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39"/>
      <c r="AW912" s="39"/>
      <c r="AX912" s="26"/>
      <c r="AY912" s="41"/>
      <c r="AZ912" s="31"/>
      <c r="BA912" s="31"/>
    </row>
    <row r="913" spans="1:53" x14ac:dyDescent="0.25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35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36"/>
      <c r="AW913" s="36"/>
      <c r="AX913" s="19"/>
      <c r="AY913" s="37"/>
      <c r="AZ913" s="24"/>
      <c r="BA913" s="24"/>
    </row>
    <row r="914" spans="1:53" x14ac:dyDescent="0.25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38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39"/>
      <c r="AW914" s="39"/>
      <c r="AX914" s="26"/>
      <c r="AY914" s="41"/>
      <c r="AZ914" s="31"/>
      <c r="BA914" s="31"/>
    </row>
    <row r="915" spans="1:53" x14ac:dyDescent="0.2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35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36"/>
      <c r="AW915" s="36"/>
      <c r="AX915" s="19"/>
      <c r="AY915" s="37"/>
      <c r="AZ915" s="24"/>
      <c r="BA915" s="24"/>
    </row>
    <row r="916" spans="1:53" x14ac:dyDescent="0.25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38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39"/>
      <c r="AW916" s="39"/>
      <c r="AX916" s="26"/>
      <c r="AY916" s="41"/>
      <c r="AZ916" s="31"/>
      <c r="BA916" s="31"/>
    </row>
    <row r="917" spans="1:53" x14ac:dyDescent="0.25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35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36"/>
      <c r="AW917" s="36"/>
      <c r="AX917" s="19"/>
      <c r="AY917" s="37"/>
      <c r="AZ917" s="24"/>
      <c r="BA917" s="24"/>
    </row>
    <row r="918" spans="1:53" x14ac:dyDescent="0.25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38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39"/>
      <c r="AW918" s="39"/>
      <c r="AX918" s="26"/>
      <c r="AY918" s="41"/>
      <c r="AZ918" s="31"/>
      <c r="BA918" s="31"/>
    </row>
    <row r="919" spans="1:53" x14ac:dyDescent="0.25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35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36"/>
      <c r="AW919" s="36"/>
      <c r="AX919" s="19"/>
      <c r="AY919" s="37"/>
      <c r="AZ919" s="24"/>
      <c r="BA919" s="24"/>
    </row>
    <row r="920" spans="1:53" x14ac:dyDescent="0.25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38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39"/>
      <c r="AW920" s="39"/>
      <c r="AX920" s="26"/>
      <c r="AY920" s="41"/>
      <c r="AZ920" s="31"/>
      <c r="BA920" s="31"/>
    </row>
    <row r="921" spans="1:53" x14ac:dyDescent="0.25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35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36"/>
      <c r="AW921" s="36"/>
      <c r="AX921" s="19"/>
      <c r="AY921" s="37"/>
      <c r="AZ921" s="24"/>
      <c r="BA921" s="24"/>
    </row>
    <row r="922" spans="1:53" x14ac:dyDescent="0.25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38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39"/>
      <c r="AW922" s="39"/>
      <c r="AX922" s="26"/>
      <c r="AY922" s="41"/>
      <c r="AZ922" s="31"/>
      <c r="BA922" s="31"/>
    </row>
    <row r="923" spans="1:53" x14ac:dyDescent="0.25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35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36"/>
      <c r="AW923" s="36"/>
      <c r="AX923" s="19"/>
      <c r="AY923" s="37"/>
      <c r="AZ923" s="24"/>
      <c r="BA923" s="24"/>
    </row>
    <row r="924" spans="1:53" x14ac:dyDescent="0.25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38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39"/>
      <c r="AW924" s="39"/>
      <c r="AX924" s="26"/>
      <c r="AY924" s="41"/>
      <c r="AZ924" s="31"/>
      <c r="BA924" s="31"/>
    </row>
    <row r="925" spans="1:53" x14ac:dyDescent="0.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35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36"/>
      <c r="AW925" s="36"/>
      <c r="AX925" s="19"/>
      <c r="AY925" s="37"/>
      <c r="AZ925" s="24"/>
      <c r="BA925" s="24"/>
    </row>
    <row r="926" spans="1:53" x14ac:dyDescent="0.25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38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39"/>
      <c r="AW926" s="39"/>
      <c r="AX926" s="26"/>
      <c r="AY926" s="41"/>
      <c r="AZ926" s="31"/>
      <c r="BA926" s="31"/>
    </row>
    <row r="927" spans="1:53" x14ac:dyDescent="0.25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35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36"/>
      <c r="AW927" s="36"/>
      <c r="AX927" s="19"/>
      <c r="AY927" s="37"/>
      <c r="AZ927" s="24"/>
      <c r="BA927" s="24"/>
    </row>
    <row r="928" spans="1:53" x14ac:dyDescent="0.25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38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39"/>
      <c r="AW928" s="39"/>
      <c r="AX928" s="26"/>
      <c r="AY928" s="41"/>
      <c r="AZ928" s="31"/>
      <c r="BA928" s="31"/>
    </row>
    <row r="929" spans="1:53" x14ac:dyDescent="0.25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35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36"/>
      <c r="AW929" s="36"/>
      <c r="AX929" s="19"/>
      <c r="AY929" s="37"/>
      <c r="AZ929" s="24"/>
      <c r="BA929" s="24"/>
    </row>
    <row r="930" spans="1:53" x14ac:dyDescent="0.25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38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39"/>
      <c r="AW930" s="39"/>
      <c r="AX930" s="26"/>
      <c r="AY930" s="41"/>
      <c r="AZ930" s="31"/>
      <c r="BA930" s="31"/>
    </row>
    <row r="931" spans="1:53" x14ac:dyDescent="0.25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35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36"/>
      <c r="AW931" s="36"/>
      <c r="AX931" s="19"/>
      <c r="AY931" s="37"/>
      <c r="AZ931" s="24"/>
      <c r="BA931" s="24"/>
    </row>
    <row r="932" spans="1:53" x14ac:dyDescent="0.25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38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39"/>
      <c r="AW932" s="39"/>
      <c r="AX932" s="26"/>
      <c r="AY932" s="41"/>
      <c r="AZ932" s="31"/>
      <c r="BA932" s="31"/>
    </row>
    <row r="933" spans="1:53" x14ac:dyDescent="0.25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35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36"/>
      <c r="AW933" s="36"/>
      <c r="AX933" s="19"/>
      <c r="AY933" s="37"/>
      <c r="AZ933" s="24"/>
      <c r="BA933" s="24"/>
    </row>
    <row r="934" spans="1:53" x14ac:dyDescent="0.25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38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39"/>
      <c r="AW934" s="39"/>
      <c r="AX934" s="26"/>
      <c r="AY934" s="41"/>
      <c r="AZ934" s="31"/>
      <c r="BA934" s="31"/>
    </row>
    <row r="935" spans="1:53" x14ac:dyDescent="0.2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35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36"/>
      <c r="AW935" s="36"/>
      <c r="AX935" s="19"/>
      <c r="AY935" s="37"/>
      <c r="AZ935" s="24"/>
      <c r="BA935" s="24"/>
    </row>
    <row r="936" spans="1:53" x14ac:dyDescent="0.25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38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39"/>
      <c r="AW936" s="39"/>
      <c r="AX936" s="26"/>
      <c r="AY936" s="41"/>
      <c r="AZ936" s="31"/>
      <c r="BA936" s="31"/>
    </row>
    <row r="937" spans="1:53" x14ac:dyDescent="0.25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35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36"/>
      <c r="AW937" s="36"/>
      <c r="AX937" s="19"/>
      <c r="AY937" s="37"/>
      <c r="AZ937" s="24"/>
      <c r="BA937" s="24"/>
    </row>
    <row r="938" spans="1:53" x14ac:dyDescent="0.25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38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39"/>
      <c r="AW938" s="39"/>
      <c r="AX938" s="26"/>
      <c r="AY938" s="41"/>
      <c r="AZ938" s="31"/>
      <c r="BA938" s="31"/>
    </row>
    <row r="939" spans="1:53" x14ac:dyDescent="0.25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35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36"/>
      <c r="AW939" s="36"/>
      <c r="AX939" s="19"/>
      <c r="AY939" s="37"/>
      <c r="AZ939" s="24"/>
      <c r="BA939" s="24"/>
    </row>
    <row r="940" spans="1:53" x14ac:dyDescent="0.25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38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39"/>
      <c r="AW940" s="39"/>
      <c r="AX940" s="26"/>
      <c r="AY940" s="41"/>
      <c r="AZ940" s="31"/>
      <c r="BA940" s="31"/>
    </row>
    <row r="941" spans="1:53" x14ac:dyDescent="0.25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35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36"/>
      <c r="AW941" s="36"/>
      <c r="AX941" s="19"/>
      <c r="AY941" s="37"/>
      <c r="AZ941" s="24"/>
      <c r="BA941" s="24"/>
    </row>
    <row r="942" spans="1:53" x14ac:dyDescent="0.25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38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39"/>
      <c r="AW942" s="39"/>
      <c r="AX942" s="26"/>
      <c r="AY942" s="41"/>
      <c r="AZ942" s="31"/>
      <c r="BA942" s="31"/>
    </row>
    <row r="943" spans="1:53" x14ac:dyDescent="0.25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35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36"/>
      <c r="AW943" s="36"/>
      <c r="AX943" s="19"/>
      <c r="AY943" s="37"/>
      <c r="AZ943" s="24"/>
      <c r="BA943" s="24"/>
    </row>
    <row r="944" spans="1:53" x14ac:dyDescent="0.25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38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39"/>
      <c r="AW944" s="39"/>
      <c r="AX944" s="26"/>
      <c r="AY944" s="41"/>
      <c r="AZ944" s="31"/>
      <c r="BA944" s="31"/>
    </row>
    <row r="945" spans="1:53" x14ac:dyDescent="0.2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35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36"/>
      <c r="AW945" s="36"/>
      <c r="AX945" s="19"/>
      <c r="AY945" s="37"/>
      <c r="AZ945" s="24"/>
      <c r="BA945" s="24"/>
    </row>
    <row r="946" spans="1:53" x14ac:dyDescent="0.25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38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39"/>
      <c r="AW946" s="39"/>
      <c r="AX946" s="26"/>
      <c r="AY946" s="41"/>
      <c r="AZ946" s="31"/>
      <c r="BA946" s="31"/>
    </row>
    <row r="947" spans="1:53" x14ac:dyDescent="0.25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35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36"/>
      <c r="AW947" s="36"/>
      <c r="AX947" s="19"/>
      <c r="AY947" s="37"/>
      <c r="AZ947" s="24"/>
      <c r="BA947" s="24"/>
    </row>
    <row r="948" spans="1:53" x14ac:dyDescent="0.25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38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39"/>
      <c r="AW948" s="39"/>
      <c r="AX948" s="26"/>
      <c r="AY948" s="41"/>
      <c r="AZ948" s="31"/>
      <c r="BA948" s="31"/>
    </row>
    <row r="949" spans="1:53" x14ac:dyDescent="0.25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35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36"/>
      <c r="AW949" s="36"/>
      <c r="AX949" s="19"/>
      <c r="AY949" s="37"/>
      <c r="AZ949" s="24"/>
      <c r="BA949" s="24"/>
    </row>
    <row r="950" spans="1:53" x14ac:dyDescent="0.25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38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39"/>
      <c r="AW950" s="39"/>
      <c r="AX950" s="26"/>
      <c r="AY950" s="41"/>
      <c r="AZ950" s="31"/>
      <c r="BA950" s="31"/>
    </row>
    <row r="951" spans="1:53" x14ac:dyDescent="0.25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35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36"/>
      <c r="AW951" s="36"/>
      <c r="AX951" s="19"/>
      <c r="AY951" s="37"/>
      <c r="AZ951" s="24"/>
      <c r="BA951" s="24"/>
    </row>
    <row r="952" spans="1:53" x14ac:dyDescent="0.25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38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39"/>
      <c r="AW952" s="39"/>
      <c r="AX952" s="26"/>
      <c r="AY952" s="41"/>
      <c r="AZ952" s="31"/>
      <c r="BA952" s="31"/>
    </row>
    <row r="953" spans="1:53" x14ac:dyDescent="0.25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35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36"/>
      <c r="AW953" s="36"/>
      <c r="AX953" s="19"/>
      <c r="AY953" s="37"/>
      <c r="AZ953" s="24"/>
      <c r="BA953" s="24"/>
    </row>
    <row r="954" spans="1:53" x14ac:dyDescent="0.25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38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39"/>
      <c r="AW954" s="39"/>
      <c r="AX954" s="26"/>
      <c r="AY954" s="41"/>
      <c r="AZ954" s="31"/>
      <c r="BA954" s="31"/>
    </row>
    <row r="955" spans="1:53" x14ac:dyDescent="0.2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35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36"/>
      <c r="AW955" s="36"/>
      <c r="AX955" s="19"/>
      <c r="AY955" s="37"/>
      <c r="AZ955" s="24"/>
      <c r="BA955" s="24"/>
    </row>
    <row r="956" spans="1:53" x14ac:dyDescent="0.25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38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39"/>
      <c r="AW956" s="39"/>
      <c r="AX956" s="26"/>
      <c r="AY956" s="41"/>
      <c r="AZ956" s="31"/>
      <c r="BA956" s="31"/>
    </row>
    <row r="957" spans="1:53" x14ac:dyDescent="0.25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35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36"/>
      <c r="AW957" s="36"/>
      <c r="AX957" s="19"/>
      <c r="AY957" s="37"/>
      <c r="AZ957" s="24"/>
      <c r="BA957" s="24"/>
    </row>
    <row r="958" spans="1:53" x14ac:dyDescent="0.25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38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39"/>
      <c r="AW958" s="39"/>
      <c r="AX958" s="26"/>
      <c r="AY958" s="41"/>
      <c r="AZ958" s="31"/>
      <c r="BA958" s="31"/>
    </row>
    <row r="959" spans="1:53" x14ac:dyDescent="0.25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35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36"/>
      <c r="AW959" s="36"/>
      <c r="AX959" s="19"/>
      <c r="AY959" s="37"/>
      <c r="AZ959" s="24"/>
      <c r="BA959" s="24"/>
    </row>
    <row r="960" spans="1:53" x14ac:dyDescent="0.25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38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39"/>
      <c r="AW960" s="39"/>
      <c r="AX960" s="26"/>
      <c r="AY960" s="41"/>
      <c r="AZ960" s="31"/>
      <c r="BA960" s="31"/>
    </row>
    <row r="961" spans="1:53" x14ac:dyDescent="0.25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35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36"/>
      <c r="AW961" s="36"/>
      <c r="AX961" s="19"/>
      <c r="AY961" s="37"/>
      <c r="AZ961" s="24"/>
      <c r="BA961" s="24"/>
    </row>
    <row r="962" spans="1:53" x14ac:dyDescent="0.25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38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39"/>
      <c r="AW962" s="39"/>
      <c r="AX962" s="26"/>
      <c r="AY962" s="41"/>
      <c r="AZ962" s="31"/>
      <c r="BA962" s="31"/>
    </row>
    <row r="963" spans="1:53" x14ac:dyDescent="0.25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35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36"/>
      <c r="AW963" s="36"/>
      <c r="AX963" s="19"/>
      <c r="AY963" s="37"/>
      <c r="AZ963" s="24"/>
      <c r="BA963" s="24"/>
    </row>
    <row r="964" spans="1:53" x14ac:dyDescent="0.25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38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39"/>
      <c r="AW964" s="39"/>
      <c r="AX964" s="26"/>
      <c r="AY964" s="41"/>
      <c r="AZ964" s="31"/>
      <c r="BA964" s="31"/>
    </row>
    <row r="965" spans="1:53" x14ac:dyDescent="0.2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35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36"/>
      <c r="AW965" s="36"/>
      <c r="AX965" s="19"/>
      <c r="AY965" s="37"/>
      <c r="AZ965" s="24"/>
      <c r="BA965" s="24"/>
    </row>
    <row r="966" spans="1:53" x14ac:dyDescent="0.25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38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39"/>
      <c r="AW966" s="39"/>
      <c r="AX966" s="26"/>
      <c r="AY966" s="41"/>
      <c r="AZ966" s="31"/>
      <c r="BA966" s="31"/>
    </row>
    <row r="967" spans="1:53" x14ac:dyDescent="0.25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35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36"/>
      <c r="AW967" s="36"/>
      <c r="AX967" s="19"/>
      <c r="AY967" s="37"/>
      <c r="AZ967" s="24"/>
      <c r="BA967" s="24"/>
    </row>
    <row r="968" spans="1:53" x14ac:dyDescent="0.25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38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39"/>
      <c r="AW968" s="39"/>
      <c r="AX968" s="26"/>
      <c r="AY968" s="41"/>
      <c r="AZ968" s="31"/>
      <c r="BA968" s="31"/>
    </row>
    <row r="969" spans="1:53" x14ac:dyDescent="0.25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35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36"/>
      <c r="AW969" s="36"/>
      <c r="AX969" s="19"/>
      <c r="AY969" s="37"/>
      <c r="AZ969" s="24"/>
      <c r="BA969" s="24"/>
    </row>
    <row r="970" spans="1:53" x14ac:dyDescent="0.25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38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39"/>
      <c r="AW970" s="39"/>
      <c r="AX970" s="26"/>
      <c r="AY970" s="41"/>
      <c r="AZ970" s="31"/>
      <c r="BA970" s="31"/>
    </row>
    <row r="971" spans="1:53" x14ac:dyDescent="0.25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35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36"/>
      <c r="AW971" s="36"/>
      <c r="AX971" s="19"/>
      <c r="AY971" s="37"/>
      <c r="AZ971" s="24"/>
      <c r="BA971" s="24"/>
    </row>
    <row r="972" spans="1:53" x14ac:dyDescent="0.25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38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39"/>
      <c r="AW972" s="39"/>
      <c r="AX972" s="26"/>
      <c r="AY972" s="41"/>
      <c r="AZ972" s="31"/>
      <c r="BA972" s="31"/>
    </row>
    <row r="973" spans="1:53" x14ac:dyDescent="0.25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35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36"/>
      <c r="AW973" s="36"/>
      <c r="AX973" s="19"/>
      <c r="AY973" s="37"/>
      <c r="AZ973" s="24"/>
      <c r="BA973" s="24"/>
    </row>
    <row r="974" spans="1:53" x14ac:dyDescent="0.25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38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39"/>
      <c r="AW974" s="39"/>
      <c r="AX974" s="26"/>
      <c r="AY974" s="41"/>
      <c r="AZ974" s="31"/>
      <c r="BA974" s="31"/>
    </row>
    <row r="975" spans="1:53" x14ac:dyDescent="0.2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35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36"/>
      <c r="AW975" s="36"/>
      <c r="AX975" s="19"/>
      <c r="AY975" s="37"/>
      <c r="AZ975" s="24"/>
      <c r="BA975" s="24"/>
    </row>
    <row r="976" spans="1:53" x14ac:dyDescent="0.25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38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39"/>
      <c r="AW976" s="39"/>
      <c r="AX976" s="26"/>
      <c r="AY976" s="41"/>
      <c r="AZ976" s="31"/>
      <c r="BA976" s="31"/>
    </row>
    <row r="977" spans="1:53" x14ac:dyDescent="0.25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35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36"/>
      <c r="AW977" s="36"/>
      <c r="AX977" s="19"/>
      <c r="AY977" s="37"/>
      <c r="AZ977" s="24"/>
      <c r="BA977" s="24"/>
    </row>
    <row r="978" spans="1:53" x14ac:dyDescent="0.25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38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39"/>
      <c r="AW978" s="39"/>
      <c r="AX978" s="26"/>
      <c r="AY978" s="41"/>
      <c r="AZ978" s="31"/>
      <c r="BA978" s="31"/>
    </row>
    <row r="979" spans="1:53" x14ac:dyDescent="0.25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35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36"/>
      <c r="AW979" s="36"/>
      <c r="AX979" s="19"/>
      <c r="AY979" s="37"/>
      <c r="AZ979" s="24"/>
      <c r="BA979" s="24"/>
    </row>
    <row r="980" spans="1:53" x14ac:dyDescent="0.25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38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39"/>
      <c r="AW980" s="39"/>
      <c r="AX980" s="26"/>
      <c r="AY980" s="41"/>
      <c r="AZ980" s="31"/>
      <c r="BA980" s="31"/>
    </row>
    <row r="981" spans="1:53" x14ac:dyDescent="0.25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35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36"/>
      <c r="AW981" s="36"/>
      <c r="AX981" s="19"/>
      <c r="AY981" s="37"/>
      <c r="AZ981" s="24"/>
      <c r="BA981" s="24"/>
    </row>
    <row r="982" spans="1:53" x14ac:dyDescent="0.25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38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39"/>
      <c r="AW982" s="39"/>
      <c r="AX982" s="26"/>
      <c r="AY982" s="41"/>
      <c r="AZ982" s="31"/>
      <c r="BA982" s="31"/>
    </row>
    <row r="983" spans="1:53" x14ac:dyDescent="0.25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35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36"/>
      <c r="AW983" s="36"/>
      <c r="AX983" s="19"/>
      <c r="AY983" s="37"/>
      <c r="AZ983" s="24"/>
      <c r="BA983" s="24"/>
    </row>
    <row r="984" spans="1:53" x14ac:dyDescent="0.25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38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39"/>
      <c r="AW984" s="39"/>
      <c r="AX984" s="26"/>
      <c r="AY984" s="41"/>
      <c r="AZ984" s="31"/>
      <c r="BA984" s="31"/>
    </row>
    <row r="985" spans="1:53" x14ac:dyDescent="0.2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35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36"/>
      <c r="AW985" s="36"/>
      <c r="AX985" s="19"/>
      <c r="AY985" s="37"/>
      <c r="AZ985" s="24"/>
      <c r="BA985" s="24"/>
    </row>
    <row r="986" spans="1:53" x14ac:dyDescent="0.25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38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39"/>
      <c r="AW986" s="39"/>
      <c r="AX986" s="26"/>
      <c r="AY986" s="41"/>
      <c r="AZ986" s="31"/>
      <c r="BA986" s="31"/>
    </row>
    <row r="987" spans="1:53" x14ac:dyDescent="0.25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35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36"/>
      <c r="AW987" s="36"/>
      <c r="AX987" s="19"/>
      <c r="AY987" s="37"/>
      <c r="AZ987" s="24"/>
      <c r="BA987" s="24"/>
    </row>
    <row r="988" spans="1:53" x14ac:dyDescent="0.25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38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39"/>
      <c r="AW988" s="39"/>
      <c r="AX988" s="26"/>
      <c r="AY988" s="41"/>
      <c r="AZ988" s="31"/>
      <c r="BA988" s="31"/>
    </row>
    <row r="989" spans="1:53" x14ac:dyDescent="0.25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35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36"/>
      <c r="AW989" s="36"/>
      <c r="AX989" s="19"/>
      <c r="AY989" s="37"/>
      <c r="AZ989" s="24"/>
      <c r="BA989" s="24"/>
    </row>
    <row r="990" spans="1:53" x14ac:dyDescent="0.25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38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39"/>
      <c r="AW990" s="39"/>
      <c r="AX990" s="26"/>
      <c r="AY990" s="41"/>
      <c r="AZ990" s="31"/>
      <c r="BA990" s="31"/>
    </row>
    <row r="991" spans="1:53" x14ac:dyDescent="0.25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35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36"/>
      <c r="AW991" s="36"/>
      <c r="AX991" s="19"/>
      <c r="AY991" s="37"/>
      <c r="AZ991" s="24"/>
      <c r="BA991" s="24"/>
    </row>
    <row r="992" spans="1:53" x14ac:dyDescent="0.25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38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39"/>
      <c r="AW992" s="39"/>
      <c r="AX992" s="26"/>
      <c r="AY992" s="41"/>
      <c r="AZ992" s="31"/>
      <c r="BA992" s="31"/>
    </row>
    <row r="993" spans="1:53" x14ac:dyDescent="0.25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35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36"/>
      <c r="AW993" s="36"/>
      <c r="AX993" s="19"/>
      <c r="AY993" s="37"/>
      <c r="AZ993" s="24"/>
      <c r="BA993" s="24"/>
    </row>
    <row r="994" spans="1:53" x14ac:dyDescent="0.25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38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39"/>
      <c r="AW994" s="39"/>
      <c r="AX994" s="26"/>
      <c r="AY994" s="41"/>
      <c r="AZ994" s="31"/>
      <c r="BA994" s="31"/>
    </row>
    <row r="995" spans="1:53" x14ac:dyDescent="0.2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35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36"/>
      <c r="AW995" s="36"/>
      <c r="AX995" s="19"/>
      <c r="AY995" s="37"/>
      <c r="AZ995" s="24"/>
      <c r="BA995" s="24"/>
    </row>
    <row r="996" spans="1:53" x14ac:dyDescent="0.25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38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39"/>
      <c r="AW996" s="39"/>
      <c r="AX996" s="26"/>
      <c r="AY996" s="41"/>
      <c r="AZ996" s="31"/>
      <c r="BA996" s="31"/>
    </row>
    <row r="997" spans="1:53" x14ac:dyDescent="0.25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35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36"/>
      <c r="AW997" s="36"/>
      <c r="AX997" s="19"/>
      <c r="AY997" s="37"/>
      <c r="AZ997" s="44"/>
      <c r="BA997" s="44"/>
    </row>
  </sheetData>
  <autoFilter ref="G1:G997" xr:uid="{00000000-0009-0000-0000-000001000000}"/>
  <dataValidations count="3">
    <dataValidation type="list" allowBlank="1" showErrorMessage="1" sqref="AS17 AS20 AS23:AS24 AS27:AS997" xr:uid="{00000000-0002-0000-0100-000001000000}">
      <formula1>"SI,NO"</formula1>
    </dataValidation>
    <dataValidation type="list" allowBlank="1" showErrorMessage="1" sqref="L17:M17 L20:M20 L23:M24 L27:M997" xr:uid="{00000000-0002-0000-0100-000004000000}">
      <formula1>"1,2,3"</formula1>
    </dataValidation>
    <dataValidation type="list" allowBlank="1" showErrorMessage="1" sqref="AN1 AJ17:AP17 AJ20:AP20 AJ23:AP24 AJ27:AP997" xr:uid="{00000000-0002-0000-0100-000006000000}">
      <formula1>"SI,NO,N/A"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8">
        <x14:dataValidation type="list" allowBlank="1" showErrorMessage="1" xr:uid="{00000000-0002-0000-0100-000000000000}">
          <x14:formula1>
            <xm:f>Hoja3!$G$2:$G$9</xm:f>
          </x14:formula1>
          <xm:sqref>H17 H20 H23:H24 H27:H997</xm:sqref>
        </x14:dataValidation>
        <x14:dataValidation type="list" allowBlank="1" showErrorMessage="1" xr:uid="{00000000-0002-0000-0100-000002000000}">
          <x14:formula1>
            <xm:f>Hoja3!$AE$2:$AE$8</xm:f>
          </x14:formula1>
          <xm:sqref>AI17 AI20 AI23:AI24 AI27:AI997</xm:sqref>
        </x14:dataValidation>
        <x14:dataValidation type="list" allowBlank="1" showErrorMessage="1" xr:uid="{00000000-0002-0000-0100-000003000000}">
          <x14:formula1>
            <xm:f>Hoja3!$AG$2:$AG$4</xm:f>
          </x14:formula1>
          <xm:sqref>AR17 AR20 AR23:AR24 AR27:AR997</xm:sqref>
        </x14:dataValidation>
        <x14:dataValidation type="list" allowBlank="1" showErrorMessage="1" xr:uid="{00000000-0002-0000-0100-000005000000}">
          <x14:formula1>
            <xm:f>Hoja3!$R$2:$R$5</xm:f>
          </x14:formula1>
          <xm:sqref>S17 S20 S23:S24 S27:S997</xm:sqref>
        </x14:dataValidation>
        <x14:dataValidation type="list" allowBlank="1" showErrorMessage="1" xr:uid="{00000000-0002-0000-0100-000007000000}">
          <x14:formula1>
            <xm:f>Hoja3!$C$2:$C$3</xm:f>
          </x14:formula1>
          <xm:sqref>C17 C20 C23:C24 C27:C997</xm:sqref>
        </x14:dataValidation>
        <x14:dataValidation type="list" allowBlank="1" showErrorMessage="1" xr:uid="{00000000-0002-0000-0100-000008000000}">
          <x14:formula1>
            <xm:f>Hoja3!$AD$2:$AD$7</xm:f>
          </x14:formula1>
          <xm:sqref>AH17 AH20 AH23:AH24 AH27:AH997</xm:sqref>
        </x14:dataValidation>
        <x14:dataValidation type="list" allowBlank="1" showErrorMessage="1" xr:uid="{00000000-0002-0000-0100-000009000000}">
          <x14:formula1>
            <xm:f>Hoja3!$V$2:$V$6</xm:f>
          </x14:formula1>
          <xm:sqref>W17 W20 W23:W24 W27:W997</xm:sqref>
        </x14:dataValidation>
        <x14:dataValidation type="list" allowBlank="1" showErrorMessage="1" xr:uid="{00000000-0002-0000-0100-00000A000000}">
          <x14:formula1>
            <xm:f>Hoja3!$D$2:$D$8</xm:f>
          </x14:formula1>
          <xm:sqref>D17 D20 D23:D24 D27:D997</xm:sqref>
        </x14:dataValidation>
        <x14:dataValidation type="list" allowBlank="1" showErrorMessage="1" xr:uid="{00000000-0002-0000-0100-00000B000000}">
          <x14:formula1>
            <xm:f>Hoja3!$N$2:$N$5</xm:f>
          </x14:formula1>
          <xm:sqref>O17 O20 O23:O24 O27:O997</xm:sqref>
        </x14:dataValidation>
        <x14:dataValidation type="list" allowBlank="1" showErrorMessage="1" xr:uid="{00000000-0002-0000-0100-00000C000000}">
          <x14:formula1>
            <xm:f>Hoja3!$AM$2:$AM$9</xm:f>
          </x14:formula1>
          <xm:sqref>AX27:AX997</xm:sqref>
        </x14:dataValidation>
        <x14:dataValidation type="list" allowBlank="1" showErrorMessage="1" xr:uid="{00000000-0002-0000-0100-00000D000000}">
          <x14:formula1>
            <xm:f>Hoja3!$B$2:$B$4</xm:f>
          </x14:formula1>
          <xm:sqref>B17 B20 B23:B24 B27:B997</xm:sqref>
        </x14:dataValidation>
        <x14:dataValidation type="list" allowBlank="1" showErrorMessage="1" xr:uid="{00000000-0002-0000-0100-00000E000000}">
          <x14:formula1>
            <xm:f>Hoja3!$U$2:$U$4</xm:f>
          </x14:formula1>
          <xm:sqref>V17 V20 V23:V24 V27:V997</xm:sqref>
        </x14:dataValidation>
        <x14:dataValidation type="list" allowBlank="1" xr:uid="{00000000-0002-0000-0100-00000F000000}">
          <x14:formula1>
            <xm:f>Hoja3!$I$2:$I$3</xm:f>
          </x14:formula1>
          <xm:sqref>J17 J20 J23:J24 J27:J997</xm:sqref>
        </x14:dataValidation>
        <x14:dataValidation type="list" allowBlank="1" showErrorMessage="1" xr:uid="{00000000-0002-0000-0100-000010000000}">
          <x14:formula1>
            <xm:f>Hoja3!$AI$2:$AI$4</xm:f>
          </x14:formula1>
          <xm:sqref>AT17 AT20 AT23:AT24 AT27:AT997</xm:sqref>
        </x14:dataValidation>
        <x14:dataValidation type="list" allowBlank="1" showErrorMessage="1" xr:uid="{00000000-0002-0000-0100-000011000000}">
          <x14:formula1>
            <xm:f>Hoja3!$Q$2:$Q$4</xm:f>
          </x14:formula1>
          <xm:sqref>R17 R20 R23:R24 R27:R997</xm:sqref>
        </x14:dataValidation>
        <x14:dataValidation type="list" allowBlank="1" showErrorMessage="1" xr:uid="{00000000-0002-0000-0100-000012000000}">
          <x14:formula1>
            <xm:f>Hoja3!$O$2:$O$3</xm:f>
          </x14:formula1>
          <xm:sqref>P17 P20 P23:P24 P27:P997</xm:sqref>
        </x14:dataValidation>
        <x14:dataValidation type="list" allowBlank="1" showErrorMessage="1" xr:uid="{00000000-0002-0000-0100-000013000000}">
          <x14:formula1>
            <xm:f>Hoja3!$S$2:$S$5</xm:f>
          </x14:formula1>
          <xm:sqref>T17:U17 T20:U20 T23:T24 T25:U25 T27:T997</xm:sqref>
        </x14:dataValidation>
        <x14:dataValidation type="list" allowBlank="1" showErrorMessage="1" xr:uid="{00000000-0002-0000-0100-000014000000}">
          <x14:formula1>
            <xm:f>Hoja3!$T$2:$T$6</xm:f>
          </x14:formula1>
          <xm:sqref>U23:U24 U27:U997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999"/>
  <sheetViews>
    <sheetView tabSelected="1" topLeftCell="AP1" workbookViewId="0">
      <selection activeCell="AZ28" sqref="AZ28"/>
    </sheetView>
  </sheetViews>
  <sheetFormatPr baseColWidth="10" defaultColWidth="14.42578125" defaultRowHeight="15" customHeight="1" x14ac:dyDescent="0.25"/>
  <cols>
    <col min="1" max="1" width="19.85546875" customWidth="1"/>
    <col min="2" max="2" width="14" customWidth="1"/>
    <col min="3" max="3" width="13.42578125" customWidth="1"/>
    <col min="4" max="4" width="8.5703125" customWidth="1"/>
    <col min="5" max="5" width="19.7109375" customWidth="1"/>
    <col min="6" max="6" width="25.85546875" customWidth="1"/>
    <col min="7" max="7" width="15.28515625" customWidth="1"/>
    <col min="8" max="8" width="8" customWidth="1"/>
    <col min="9" max="9" width="20.140625" customWidth="1"/>
    <col min="10" max="10" width="11.85546875" customWidth="1"/>
    <col min="11" max="11" width="19.5703125" customWidth="1"/>
    <col min="12" max="12" width="20.7109375" customWidth="1"/>
    <col min="13" max="13" width="9.140625" customWidth="1"/>
    <col min="14" max="14" width="31.5703125" customWidth="1"/>
    <col min="15" max="15" width="26" customWidth="1"/>
    <col min="16" max="16" width="18.85546875" customWidth="1"/>
    <col min="17" max="17" width="53.5703125" customWidth="1"/>
    <col min="18" max="18" width="12.85546875" customWidth="1"/>
    <col min="19" max="19" width="12.42578125" customWidth="1"/>
    <col min="20" max="20" width="11.42578125" customWidth="1"/>
    <col min="21" max="21" width="10.85546875" customWidth="1"/>
    <col min="22" max="22" width="13.28515625" customWidth="1"/>
    <col min="23" max="23" width="14.28515625" customWidth="1"/>
    <col min="24" max="24" width="21.140625" customWidth="1"/>
    <col min="25" max="26" width="15" customWidth="1"/>
    <col min="27" max="27" width="19.140625" customWidth="1"/>
    <col min="28" max="28" width="16.5703125" customWidth="1"/>
    <col min="29" max="29" width="27.5703125" customWidth="1"/>
    <col min="30" max="30" width="29.140625" customWidth="1"/>
    <col min="31" max="31" width="20.7109375" customWidth="1"/>
    <col min="32" max="32" width="22.85546875" customWidth="1"/>
    <col min="33" max="33" width="25.5703125" customWidth="1"/>
    <col min="34" max="34" width="24.7109375" customWidth="1"/>
    <col min="35" max="35" width="17.5703125" customWidth="1"/>
    <col min="36" max="36" width="13.28515625" customWidth="1"/>
    <col min="37" max="37" width="9.5703125" customWidth="1"/>
    <col min="38" max="38" width="14.42578125" customWidth="1"/>
    <col min="39" max="39" width="15.7109375" customWidth="1"/>
    <col min="40" max="40" width="10.85546875" customWidth="1"/>
    <col min="41" max="41" width="10" customWidth="1"/>
    <col min="42" max="42" width="13.42578125" customWidth="1"/>
    <col min="43" max="43" width="13" customWidth="1"/>
    <col min="44" max="44" width="20.5703125" customWidth="1"/>
    <col min="45" max="45" width="17.85546875" customWidth="1"/>
    <col min="46" max="46" width="21.85546875" customWidth="1"/>
    <col min="47" max="47" width="12.85546875" customWidth="1"/>
    <col min="48" max="48" width="25" customWidth="1"/>
    <col min="49" max="49" width="16" customWidth="1"/>
    <col min="50" max="50" width="38.7109375" customWidth="1"/>
    <col min="51" max="51" width="22.7109375" customWidth="1"/>
    <col min="52" max="52" width="25.42578125" customWidth="1"/>
    <col min="53" max="53" width="29.28515625" customWidth="1"/>
  </cols>
  <sheetData>
    <row r="1" spans="1:53" ht="43.5" customHeight="1" x14ac:dyDescent="0.25">
      <c r="A1" s="45" t="s">
        <v>20</v>
      </c>
      <c r="B1" s="45" t="s">
        <v>21</v>
      </c>
      <c r="C1" s="45" t="s">
        <v>22</v>
      </c>
      <c r="D1" s="45" t="s">
        <v>0</v>
      </c>
      <c r="E1" s="45" t="s">
        <v>1</v>
      </c>
      <c r="F1" s="46" t="s">
        <v>2</v>
      </c>
      <c r="G1" s="46" t="s">
        <v>3</v>
      </c>
      <c r="H1" s="47" t="s">
        <v>4</v>
      </c>
      <c r="I1" s="45" t="s">
        <v>5</v>
      </c>
      <c r="J1" s="45" t="s">
        <v>6</v>
      </c>
      <c r="K1" s="45" t="s">
        <v>7</v>
      </c>
      <c r="L1" s="45" t="s">
        <v>23</v>
      </c>
      <c r="M1" s="45" t="s">
        <v>8</v>
      </c>
      <c r="N1" s="45" t="s">
        <v>24</v>
      </c>
      <c r="O1" s="45" t="s">
        <v>9</v>
      </c>
      <c r="P1" s="45" t="s">
        <v>10</v>
      </c>
      <c r="Q1" s="45" t="s">
        <v>25</v>
      </c>
      <c r="R1" s="45" t="s">
        <v>26</v>
      </c>
      <c r="S1" s="45" t="s">
        <v>27</v>
      </c>
      <c r="T1" s="45" t="s">
        <v>28</v>
      </c>
      <c r="U1" s="45" t="s">
        <v>29</v>
      </c>
      <c r="V1" s="45" t="s">
        <v>30</v>
      </c>
      <c r="W1" s="45" t="s">
        <v>31</v>
      </c>
      <c r="X1" s="45" t="s">
        <v>32</v>
      </c>
      <c r="Y1" s="45" t="s">
        <v>11</v>
      </c>
      <c r="Z1" s="45" t="s">
        <v>12</v>
      </c>
      <c r="AA1" s="45" t="s">
        <v>13</v>
      </c>
      <c r="AB1" s="45" t="s">
        <v>33</v>
      </c>
      <c r="AC1" s="45" t="s">
        <v>34</v>
      </c>
      <c r="AD1" s="46" t="s">
        <v>35</v>
      </c>
      <c r="AE1" s="45" t="s">
        <v>36</v>
      </c>
      <c r="AF1" s="45" t="s">
        <v>37</v>
      </c>
      <c r="AG1" s="45" t="s">
        <v>38</v>
      </c>
      <c r="AH1" s="45" t="s">
        <v>39</v>
      </c>
      <c r="AI1" s="45" t="s">
        <v>40</v>
      </c>
      <c r="AJ1" s="45" t="s">
        <v>41</v>
      </c>
      <c r="AK1" s="45" t="s">
        <v>42</v>
      </c>
      <c r="AL1" s="45" t="s">
        <v>43</v>
      </c>
      <c r="AM1" s="45" t="s">
        <v>44</v>
      </c>
      <c r="AN1" s="45" t="s">
        <v>101</v>
      </c>
      <c r="AO1" s="45" t="s">
        <v>46</v>
      </c>
      <c r="AP1" s="45" t="s">
        <v>47</v>
      </c>
      <c r="AQ1" s="45" t="s">
        <v>48</v>
      </c>
      <c r="AR1" s="45" t="s">
        <v>49</v>
      </c>
      <c r="AS1" s="45" t="s">
        <v>50</v>
      </c>
      <c r="AT1" s="45" t="s">
        <v>51</v>
      </c>
      <c r="AU1" s="45" t="s">
        <v>52</v>
      </c>
      <c r="AV1" s="45" t="s">
        <v>14</v>
      </c>
      <c r="AW1" s="45" t="s">
        <v>15</v>
      </c>
      <c r="AX1" s="45" t="s">
        <v>16</v>
      </c>
      <c r="AY1" s="45" t="s">
        <v>53</v>
      </c>
      <c r="AZ1" s="45" t="s">
        <v>54</v>
      </c>
      <c r="BA1" s="45" t="s">
        <v>55</v>
      </c>
    </row>
    <row r="2" spans="1:53" ht="18" customHeight="1" x14ac:dyDescent="0.25">
      <c r="A2" s="9" t="s">
        <v>56</v>
      </c>
      <c r="B2" s="9" t="s">
        <v>102</v>
      </c>
      <c r="C2" s="9" t="s">
        <v>103</v>
      </c>
      <c r="D2" s="9" t="s">
        <v>59</v>
      </c>
      <c r="E2" s="9" t="s">
        <v>104</v>
      </c>
      <c r="F2" s="9" t="s">
        <v>105</v>
      </c>
      <c r="G2" s="9" t="s">
        <v>106</v>
      </c>
      <c r="H2" s="9">
        <v>65</v>
      </c>
      <c r="I2" s="9" t="s">
        <v>63</v>
      </c>
      <c r="J2" s="9" t="s">
        <v>64</v>
      </c>
      <c r="K2" s="9" t="s">
        <v>65</v>
      </c>
      <c r="L2" s="9" t="s">
        <v>107</v>
      </c>
      <c r="M2" s="9">
        <v>1</v>
      </c>
      <c r="N2" s="9" t="s">
        <v>108</v>
      </c>
      <c r="O2" s="9" t="s">
        <v>68</v>
      </c>
      <c r="P2" s="9" t="s">
        <v>69</v>
      </c>
      <c r="Q2" s="9" t="s">
        <v>109</v>
      </c>
      <c r="R2" s="9" t="s">
        <v>71</v>
      </c>
      <c r="S2" s="9" t="s">
        <v>72</v>
      </c>
      <c r="T2" s="9" t="s">
        <v>18</v>
      </c>
      <c r="U2" s="9" t="s">
        <v>18</v>
      </c>
      <c r="V2" s="9" t="s">
        <v>73</v>
      </c>
      <c r="W2" s="9" t="s">
        <v>110</v>
      </c>
      <c r="X2" s="9" t="s">
        <v>111</v>
      </c>
      <c r="Y2" s="9" t="s">
        <v>18</v>
      </c>
      <c r="Z2" s="9" t="s">
        <v>18</v>
      </c>
      <c r="AA2" s="9" t="s">
        <v>18</v>
      </c>
      <c r="AB2" s="9" t="s">
        <v>18</v>
      </c>
      <c r="AC2" s="9" t="s">
        <v>18</v>
      </c>
      <c r="AD2" s="9" t="s">
        <v>18</v>
      </c>
      <c r="AE2" s="9" t="s">
        <v>112</v>
      </c>
      <c r="AF2" s="9" t="s">
        <v>113</v>
      </c>
      <c r="AG2" s="9" t="s">
        <v>114</v>
      </c>
      <c r="AH2" s="9" t="s">
        <v>80</v>
      </c>
      <c r="AI2" s="9" t="s">
        <v>81</v>
      </c>
      <c r="AJ2" s="9" t="s">
        <v>45</v>
      </c>
      <c r="AK2" s="9" t="s">
        <v>45</v>
      </c>
      <c r="AL2" s="9" t="s">
        <v>45</v>
      </c>
      <c r="AM2" s="9" t="s">
        <v>82</v>
      </c>
      <c r="AN2" s="9" t="s">
        <v>45</v>
      </c>
      <c r="AO2" s="9" t="s">
        <v>45</v>
      </c>
      <c r="AP2" s="9" t="s">
        <v>82</v>
      </c>
      <c r="AQ2" s="9" t="s">
        <v>18</v>
      </c>
      <c r="AR2" s="9" t="s">
        <v>83</v>
      </c>
      <c r="AS2" s="9" t="s">
        <v>82</v>
      </c>
      <c r="AT2" s="9" t="s">
        <v>84</v>
      </c>
      <c r="AU2" s="9" t="s">
        <v>82</v>
      </c>
      <c r="AV2" s="48">
        <v>46154</v>
      </c>
      <c r="AW2" s="48">
        <v>46154</v>
      </c>
      <c r="AX2" s="9"/>
      <c r="AY2" s="9" t="s">
        <v>115</v>
      </c>
      <c r="AZ2" s="49" t="s">
        <v>86</v>
      </c>
      <c r="BA2" s="49"/>
    </row>
    <row r="3" spans="1:53" ht="15.75" customHeight="1" x14ac:dyDescent="0.25">
      <c r="A3" s="9" t="s">
        <v>87</v>
      </c>
      <c r="B3" s="9" t="s">
        <v>57</v>
      </c>
      <c r="C3" s="9" t="s">
        <v>103</v>
      </c>
      <c r="D3" s="9" t="s">
        <v>59</v>
      </c>
      <c r="E3" s="9" t="s">
        <v>60</v>
      </c>
      <c r="F3" s="9" t="s">
        <v>116</v>
      </c>
      <c r="G3" s="9" t="s">
        <v>117</v>
      </c>
      <c r="H3" s="9">
        <v>65</v>
      </c>
      <c r="I3" s="9" t="s">
        <v>63</v>
      </c>
      <c r="J3" s="9" t="s">
        <v>64</v>
      </c>
      <c r="K3" s="9" t="s">
        <v>65</v>
      </c>
      <c r="L3" s="9" t="s">
        <v>66</v>
      </c>
      <c r="M3" s="9">
        <v>2</v>
      </c>
      <c r="N3" s="9" t="s">
        <v>118</v>
      </c>
      <c r="O3" s="9" t="s">
        <v>68</v>
      </c>
      <c r="P3" s="9" t="s">
        <v>69</v>
      </c>
      <c r="Q3" s="9" t="s">
        <v>70</v>
      </c>
      <c r="R3" s="9" t="s">
        <v>71</v>
      </c>
      <c r="S3" s="9" t="s">
        <v>72</v>
      </c>
      <c r="T3" s="9" t="s">
        <v>18</v>
      </c>
      <c r="U3" s="9" t="s">
        <v>18</v>
      </c>
      <c r="V3" s="9" t="s">
        <v>73</v>
      </c>
      <c r="W3" s="9" t="s">
        <v>74</v>
      </c>
      <c r="X3" s="9" t="s">
        <v>75</v>
      </c>
      <c r="Y3" s="9" t="s">
        <v>18</v>
      </c>
      <c r="Z3" s="9" t="s">
        <v>18</v>
      </c>
      <c r="AA3" s="9" t="s">
        <v>18</v>
      </c>
      <c r="AB3" s="9" t="s">
        <v>119</v>
      </c>
      <c r="AC3" s="9" t="s">
        <v>120</v>
      </c>
      <c r="AD3" s="9" t="s">
        <v>121</v>
      </c>
      <c r="AE3" s="9" t="s">
        <v>18</v>
      </c>
      <c r="AF3" s="9" t="s">
        <v>122</v>
      </c>
      <c r="AG3" s="9" t="s">
        <v>123</v>
      </c>
      <c r="AH3" s="9" t="s">
        <v>80</v>
      </c>
      <c r="AI3" s="9" t="s">
        <v>81</v>
      </c>
      <c r="AJ3" s="9" t="s">
        <v>45</v>
      </c>
      <c r="AK3" s="9" t="s">
        <v>45</v>
      </c>
      <c r="AL3" s="9" t="s">
        <v>45</v>
      </c>
      <c r="AM3" s="9" t="s">
        <v>82</v>
      </c>
      <c r="AN3" s="9" t="s">
        <v>45</v>
      </c>
      <c r="AO3" s="9" t="s">
        <v>82</v>
      </c>
      <c r="AP3" s="9" t="s">
        <v>82</v>
      </c>
      <c r="AQ3" s="9" t="s">
        <v>18</v>
      </c>
      <c r="AR3" s="9" t="s">
        <v>83</v>
      </c>
      <c r="AS3" s="9" t="s">
        <v>45</v>
      </c>
      <c r="AT3" s="9" t="s">
        <v>84</v>
      </c>
      <c r="AU3" s="9" t="s">
        <v>82</v>
      </c>
      <c r="AV3" s="48">
        <v>46154</v>
      </c>
      <c r="AW3" s="48">
        <v>46154</v>
      </c>
      <c r="AX3" s="9"/>
      <c r="AY3" s="9" t="s">
        <v>85</v>
      </c>
      <c r="AZ3" s="49" t="s">
        <v>86</v>
      </c>
      <c r="BA3" s="49"/>
    </row>
    <row r="4" spans="1:53" ht="15.75" customHeight="1" x14ac:dyDescent="0.25">
      <c r="A4" s="50" t="s">
        <v>56</v>
      </c>
      <c r="B4" s="50" t="s">
        <v>102</v>
      </c>
      <c r="C4" s="50" t="s">
        <v>103</v>
      </c>
      <c r="D4" s="50" t="s">
        <v>59</v>
      </c>
      <c r="E4" s="50" t="s">
        <v>104</v>
      </c>
      <c r="F4" s="50" t="s">
        <v>124</v>
      </c>
      <c r="G4" s="50" t="s">
        <v>125</v>
      </c>
      <c r="H4" s="50">
        <v>65</v>
      </c>
      <c r="I4" s="50" t="s">
        <v>63</v>
      </c>
      <c r="J4" s="50" t="s">
        <v>64</v>
      </c>
      <c r="K4" s="50" t="s">
        <v>65</v>
      </c>
      <c r="L4" s="50" t="s">
        <v>66</v>
      </c>
      <c r="M4" s="50">
        <v>2</v>
      </c>
      <c r="N4" s="50" t="s">
        <v>90</v>
      </c>
      <c r="O4" s="50" t="s">
        <v>68</v>
      </c>
      <c r="P4" s="50" t="s">
        <v>69</v>
      </c>
      <c r="Q4" s="50" t="s">
        <v>109</v>
      </c>
      <c r="R4" s="50" t="s">
        <v>126</v>
      </c>
      <c r="S4" s="50" t="s">
        <v>72</v>
      </c>
      <c r="T4" s="50" t="s">
        <v>18</v>
      </c>
      <c r="U4" s="50" t="s">
        <v>18</v>
      </c>
      <c r="V4" s="50" t="s">
        <v>73</v>
      </c>
      <c r="W4" s="50" t="s">
        <v>110</v>
      </c>
      <c r="X4" s="50" t="s">
        <v>111</v>
      </c>
      <c r="Y4" s="50" t="s">
        <v>18</v>
      </c>
      <c r="Z4" s="50" t="s">
        <v>18</v>
      </c>
      <c r="AA4" s="50" t="s">
        <v>18</v>
      </c>
      <c r="AB4" s="50" t="s">
        <v>18</v>
      </c>
      <c r="AC4" s="50" t="s">
        <v>127</v>
      </c>
      <c r="AD4" s="50" t="s">
        <v>18</v>
      </c>
      <c r="AE4" s="50" t="s">
        <v>128</v>
      </c>
      <c r="AF4" s="50" t="s">
        <v>129</v>
      </c>
      <c r="AG4" s="50" t="s">
        <v>130</v>
      </c>
      <c r="AH4" s="50" t="s">
        <v>80</v>
      </c>
      <c r="AI4" s="50" t="s">
        <v>81</v>
      </c>
      <c r="AJ4" s="50" t="s">
        <v>45</v>
      </c>
      <c r="AK4" s="50" t="s">
        <v>45</v>
      </c>
      <c r="AL4" s="50" t="s">
        <v>45</v>
      </c>
      <c r="AM4" s="50" t="s">
        <v>82</v>
      </c>
      <c r="AN4" s="50" t="s">
        <v>45</v>
      </c>
      <c r="AO4" s="50" t="s">
        <v>45</v>
      </c>
      <c r="AP4" s="50" t="s">
        <v>82</v>
      </c>
      <c r="AQ4" s="50" t="s">
        <v>18</v>
      </c>
      <c r="AR4" s="50"/>
      <c r="AS4" s="50" t="s">
        <v>18</v>
      </c>
      <c r="AT4" s="50"/>
      <c r="AU4" s="50" t="s">
        <v>82</v>
      </c>
      <c r="AV4" s="51">
        <v>46154</v>
      </c>
      <c r="AW4" s="51">
        <v>46154</v>
      </c>
      <c r="AX4" s="50"/>
      <c r="AY4" s="50" t="s">
        <v>85</v>
      </c>
      <c r="AZ4" s="52" t="s">
        <v>86</v>
      </c>
      <c r="BA4" s="52"/>
    </row>
    <row r="5" spans="1:53" ht="15.75" customHeight="1" x14ac:dyDescent="0.25">
      <c r="A5" s="9" t="s">
        <v>131</v>
      </c>
      <c r="B5" s="9" t="s">
        <v>57</v>
      </c>
      <c r="C5" s="9" t="s">
        <v>103</v>
      </c>
      <c r="D5" s="9" t="s">
        <v>59</v>
      </c>
      <c r="E5" s="9" t="s">
        <v>60</v>
      </c>
      <c r="F5" s="9" t="s">
        <v>132</v>
      </c>
      <c r="G5" s="9" t="s">
        <v>133</v>
      </c>
      <c r="H5" s="9">
        <v>65</v>
      </c>
      <c r="I5" s="9" t="s">
        <v>63</v>
      </c>
      <c r="J5" s="9" t="s">
        <v>64</v>
      </c>
      <c r="K5" s="9" t="s">
        <v>65</v>
      </c>
      <c r="L5" s="9" t="s">
        <v>66</v>
      </c>
      <c r="M5" s="9">
        <v>2</v>
      </c>
      <c r="N5" s="9" t="s">
        <v>134</v>
      </c>
      <c r="O5" s="9" t="s">
        <v>17</v>
      </c>
      <c r="P5" s="9" t="s">
        <v>69</v>
      </c>
      <c r="Q5" s="9" t="s">
        <v>70</v>
      </c>
      <c r="R5" s="9" t="s">
        <v>71</v>
      </c>
      <c r="S5" s="9" t="s">
        <v>72</v>
      </c>
      <c r="T5" s="9" t="s">
        <v>18</v>
      </c>
      <c r="U5" s="9" t="s">
        <v>18</v>
      </c>
      <c r="V5" s="9" t="s">
        <v>73</v>
      </c>
      <c r="W5" s="9" t="s">
        <v>74</v>
      </c>
      <c r="X5" s="9" t="s">
        <v>75</v>
      </c>
      <c r="Y5" s="9" t="s">
        <v>18</v>
      </c>
      <c r="Z5" s="9" t="s">
        <v>18</v>
      </c>
      <c r="AA5" s="9" t="s">
        <v>18</v>
      </c>
      <c r="AB5" s="9" t="s">
        <v>18</v>
      </c>
      <c r="AC5" s="9" t="s">
        <v>18</v>
      </c>
      <c r="AD5" s="9" t="s">
        <v>18</v>
      </c>
      <c r="AE5" s="9" t="s">
        <v>18</v>
      </c>
      <c r="AF5" s="9" t="s">
        <v>135</v>
      </c>
      <c r="AG5" s="9" t="s">
        <v>136</v>
      </c>
      <c r="AH5" s="9" t="s">
        <v>80</v>
      </c>
      <c r="AI5" s="9" t="s">
        <v>137</v>
      </c>
      <c r="AJ5" s="9" t="s">
        <v>45</v>
      </c>
      <c r="AK5" s="9" t="s">
        <v>45</v>
      </c>
      <c r="AL5" s="9" t="s">
        <v>45</v>
      </c>
      <c r="AM5" s="9" t="s">
        <v>82</v>
      </c>
      <c r="AN5" s="9" t="s">
        <v>45</v>
      </c>
      <c r="AO5" s="9" t="s">
        <v>82</v>
      </c>
      <c r="AP5" s="9" t="s">
        <v>82</v>
      </c>
      <c r="AQ5" s="9" t="s">
        <v>18</v>
      </c>
      <c r="AR5" s="9" t="s">
        <v>83</v>
      </c>
      <c r="AS5" s="9" t="s">
        <v>45</v>
      </c>
      <c r="AT5" s="9" t="s">
        <v>84</v>
      </c>
      <c r="AU5" s="9" t="s">
        <v>82</v>
      </c>
      <c r="AV5" s="48">
        <v>46154</v>
      </c>
      <c r="AW5" s="48">
        <v>46154</v>
      </c>
      <c r="AX5" s="9"/>
      <c r="AY5" s="9" t="s">
        <v>85</v>
      </c>
      <c r="AZ5" s="49" t="s">
        <v>86</v>
      </c>
      <c r="BA5" s="49"/>
    </row>
    <row r="6" spans="1:53" ht="15.75" customHeight="1" x14ac:dyDescent="0.25">
      <c r="A6" s="9" t="s">
        <v>56</v>
      </c>
      <c r="B6" s="9" t="s">
        <v>57</v>
      </c>
      <c r="C6" s="9" t="s">
        <v>103</v>
      </c>
      <c r="D6" s="9" t="s">
        <v>59</v>
      </c>
      <c r="E6" s="9" t="s">
        <v>60</v>
      </c>
      <c r="F6" s="9" t="s">
        <v>138</v>
      </c>
      <c r="G6" s="9" t="s">
        <v>139</v>
      </c>
      <c r="H6" s="9">
        <v>65</v>
      </c>
      <c r="I6" s="9" t="s">
        <v>63</v>
      </c>
      <c r="J6" s="9" t="s">
        <v>64</v>
      </c>
      <c r="K6" s="9" t="s">
        <v>65</v>
      </c>
      <c r="L6" s="9" t="s">
        <v>140</v>
      </c>
      <c r="M6" s="9"/>
      <c r="N6" s="9" t="s">
        <v>141</v>
      </c>
      <c r="O6" s="9" t="s">
        <v>68</v>
      </c>
      <c r="P6" s="9" t="s">
        <v>69</v>
      </c>
      <c r="Q6" s="9" t="s">
        <v>70</v>
      </c>
      <c r="R6" s="9" t="s">
        <v>71</v>
      </c>
      <c r="S6" s="9" t="s">
        <v>72</v>
      </c>
      <c r="T6" s="9" t="s">
        <v>18</v>
      </c>
      <c r="U6" s="9" t="s">
        <v>18</v>
      </c>
      <c r="V6" s="9" t="s">
        <v>73</v>
      </c>
      <c r="W6" s="9" t="s">
        <v>74</v>
      </c>
      <c r="X6" s="9" t="s">
        <v>75</v>
      </c>
      <c r="Y6" s="9" t="s">
        <v>18</v>
      </c>
      <c r="Z6" s="9" t="s">
        <v>18</v>
      </c>
      <c r="AA6" s="9" t="s">
        <v>18</v>
      </c>
      <c r="AB6" s="9" t="s">
        <v>142</v>
      </c>
      <c r="AC6" s="9" t="s">
        <v>143</v>
      </c>
      <c r="AD6" s="9" t="s">
        <v>144</v>
      </c>
      <c r="AE6" s="9" t="s">
        <v>18</v>
      </c>
      <c r="AF6" s="9" t="s">
        <v>145</v>
      </c>
      <c r="AG6" s="9" t="s">
        <v>146</v>
      </c>
      <c r="AH6" s="9" t="s">
        <v>80</v>
      </c>
      <c r="AI6" s="9" t="s">
        <v>81</v>
      </c>
      <c r="AJ6" s="9" t="s">
        <v>45</v>
      </c>
      <c r="AK6" s="9" t="s">
        <v>45</v>
      </c>
      <c r="AL6" s="9" t="s">
        <v>45</v>
      </c>
      <c r="AM6" s="9" t="s">
        <v>82</v>
      </c>
      <c r="AN6" s="9" t="s">
        <v>45</v>
      </c>
      <c r="AO6" s="9" t="s">
        <v>18</v>
      </c>
      <c r="AP6" s="9" t="s">
        <v>82</v>
      </c>
      <c r="AQ6" s="9" t="s">
        <v>18</v>
      </c>
      <c r="AR6" s="9" t="s">
        <v>83</v>
      </c>
      <c r="AS6" s="9" t="s">
        <v>45</v>
      </c>
      <c r="AT6" s="9" t="s">
        <v>84</v>
      </c>
      <c r="AU6" s="9" t="s">
        <v>82</v>
      </c>
      <c r="AV6" s="48">
        <v>46154</v>
      </c>
      <c r="AW6" s="48">
        <v>46154</v>
      </c>
      <c r="AX6" s="9"/>
      <c r="AY6" s="9" t="s">
        <v>85</v>
      </c>
      <c r="AZ6" s="49" t="s">
        <v>86</v>
      </c>
      <c r="BA6" s="49"/>
    </row>
    <row r="7" spans="1:53" ht="15.75" customHeight="1" x14ac:dyDescent="0.25">
      <c r="A7" s="9" t="s">
        <v>56</v>
      </c>
      <c r="B7" s="9" t="s">
        <v>57</v>
      </c>
      <c r="C7" s="9" t="s">
        <v>103</v>
      </c>
      <c r="D7" s="9" t="s">
        <v>59</v>
      </c>
      <c r="E7" s="9" t="s">
        <v>60</v>
      </c>
      <c r="F7" s="9" t="s">
        <v>147</v>
      </c>
      <c r="G7" s="9" t="s">
        <v>148</v>
      </c>
      <c r="H7" s="9">
        <v>65</v>
      </c>
      <c r="I7" s="9" t="s">
        <v>63</v>
      </c>
      <c r="J7" s="9" t="s">
        <v>64</v>
      </c>
      <c r="K7" s="9" t="s">
        <v>65</v>
      </c>
      <c r="L7" s="9" t="s">
        <v>140</v>
      </c>
      <c r="M7" s="9">
        <v>2</v>
      </c>
      <c r="N7" s="9" t="s">
        <v>149</v>
      </c>
      <c r="O7" s="9" t="s">
        <v>68</v>
      </c>
      <c r="P7" s="9" t="s">
        <v>69</v>
      </c>
      <c r="Q7" s="9" t="s">
        <v>70</v>
      </c>
      <c r="R7" s="9" t="s">
        <v>71</v>
      </c>
      <c r="S7" s="9" t="s">
        <v>72</v>
      </c>
      <c r="T7" s="9" t="s">
        <v>18</v>
      </c>
      <c r="U7" s="9" t="s">
        <v>18</v>
      </c>
      <c r="V7" s="9" t="s">
        <v>73</v>
      </c>
      <c r="W7" s="9" t="s">
        <v>74</v>
      </c>
      <c r="X7" s="9" t="s">
        <v>75</v>
      </c>
      <c r="Y7" s="9" t="s">
        <v>18</v>
      </c>
      <c r="Z7" s="9" t="s">
        <v>18</v>
      </c>
      <c r="AA7" s="9" t="s">
        <v>18</v>
      </c>
      <c r="AB7" s="9" t="s">
        <v>150</v>
      </c>
      <c r="AC7" s="9" t="s">
        <v>18</v>
      </c>
      <c r="AD7" s="9" t="s">
        <v>151</v>
      </c>
      <c r="AE7" s="9" t="s">
        <v>18</v>
      </c>
      <c r="AF7" s="9" t="s">
        <v>152</v>
      </c>
      <c r="AG7" s="9" t="s">
        <v>153</v>
      </c>
      <c r="AH7" s="9" t="s">
        <v>80</v>
      </c>
      <c r="AI7" s="9" t="s">
        <v>81</v>
      </c>
      <c r="AJ7" s="9" t="s">
        <v>45</v>
      </c>
      <c r="AK7" s="9" t="s">
        <v>45</v>
      </c>
      <c r="AL7" s="9" t="s">
        <v>45</v>
      </c>
      <c r="AM7" s="9" t="s">
        <v>82</v>
      </c>
      <c r="AN7" s="9" t="s">
        <v>45</v>
      </c>
      <c r="AO7" s="9" t="s">
        <v>18</v>
      </c>
      <c r="AP7" s="9" t="s">
        <v>82</v>
      </c>
      <c r="AQ7" s="9" t="s">
        <v>18</v>
      </c>
      <c r="AR7" s="9" t="s">
        <v>83</v>
      </c>
      <c r="AS7" s="9" t="s">
        <v>45</v>
      </c>
      <c r="AT7" s="9" t="s">
        <v>84</v>
      </c>
      <c r="AU7" s="9" t="s">
        <v>82</v>
      </c>
      <c r="AV7" s="48">
        <v>46154</v>
      </c>
      <c r="AW7" s="48">
        <v>46154</v>
      </c>
      <c r="AX7" s="9"/>
      <c r="AY7" s="9" t="s">
        <v>85</v>
      </c>
      <c r="AZ7" s="49" t="s">
        <v>86</v>
      </c>
      <c r="BA7" s="49"/>
    </row>
    <row r="8" spans="1:53" ht="15.75" customHeight="1" x14ac:dyDescent="0.25">
      <c r="A8" s="50" t="s">
        <v>154</v>
      </c>
      <c r="B8" s="50" t="s">
        <v>57</v>
      </c>
      <c r="C8" s="50" t="s">
        <v>103</v>
      </c>
      <c r="D8" s="50" t="s">
        <v>59</v>
      </c>
      <c r="E8" s="50" t="s">
        <v>60</v>
      </c>
      <c r="F8" s="50" t="s">
        <v>155</v>
      </c>
      <c r="G8" s="50" t="s">
        <v>156</v>
      </c>
      <c r="H8" s="50">
        <v>65</v>
      </c>
      <c r="I8" s="50" t="s">
        <v>63</v>
      </c>
      <c r="J8" s="50" t="s">
        <v>64</v>
      </c>
      <c r="K8" s="50" t="s">
        <v>65</v>
      </c>
      <c r="L8" s="50" t="s">
        <v>157</v>
      </c>
      <c r="M8" s="50">
        <v>2</v>
      </c>
      <c r="N8" s="50" t="s">
        <v>158</v>
      </c>
      <c r="O8" s="50" t="s">
        <v>68</v>
      </c>
      <c r="P8" s="50" t="s">
        <v>69</v>
      </c>
      <c r="Q8" s="50" t="s">
        <v>70</v>
      </c>
      <c r="R8" s="50" t="s">
        <v>71</v>
      </c>
      <c r="S8" s="50" t="s">
        <v>72</v>
      </c>
      <c r="T8" s="50" t="s">
        <v>18</v>
      </c>
      <c r="U8" s="50" t="s">
        <v>18</v>
      </c>
      <c r="V8" s="50" t="s">
        <v>73</v>
      </c>
      <c r="W8" s="50" t="s">
        <v>74</v>
      </c>
      <c r="X8" s="50" t="s">
        <v>75</v>
      </c>
      <c r="Y8" s="50" t="s">
        <v>18</v>
      </c>
      <c r="Z8" s="50" t="s">
        <v>18</v>
      </c>
      <c r="AA8" s="50" t="s">
        <v>18</v>
      </c>
      <c r="AB8" s="50" t="s">
        <v>159</v>
      </c>
      <c r="AC8" s="50" t="s">
        <v>160</v>
      </c>
      <c r="AD8" s="50" t="s">
        <v>161</v>
      </c>
      <c r="AE8" s="50" t="s">
        <v>18</v>
      </c>
      <c r="AF8" s="50" t="s">
        <v>162</v>
      </c>
      <c r="AG8" s="50" t="s">
        <v>163</v>
      </c>
      <c r="AH8" s="50" t="s">
        <v>80</v>
      </c>
      <c r="AI8" s="50" t="s">
        <v>137</v>
      </c>
      <c r="AJ8" s="50" t="s">
        <v>45</v>
      </c>
      <c r="AK8" s="50" t="s">
        <v>45</v>
      </c>
      <c r="AL8" s="50" t="s">
        <v>45</v>
      </c>
      <c r="AM8" s="50" t="s">
        <v>82</v>
      </c>
      <c r="AN8" s="50" t="s">
        <v>45</v>
      </c>
      <c r="AO8" s="50" t="s">
        <v>82</v>
      </c>
      <c r="AP8" s="50" t="s">
        <v>82</v>
      </c>
      <c r="AQ8" s="50" t="s">
        <v>18</v>
      </c>
      <c r="AR8" s="50" t="s">
        <v>83</v>
      </c>
      <c r="AS8" s="50" t="s">
        <v>45</v>
      </c>
      <c r="AT8" s="50" t="s">
        <v>84</v>
      </c>
      <c r="AU8" s="50" t="s">
        <v>82</v>
      </c>
      <c r="AV8" s="51">
        <v>46154</v>
      </c>
      <c r="AW8" s="51">
        <v>46154</v>
      </c>
      <c r="AX8" s="50"/>
      <c r="AY8" s="50" t="s">
        <v>85</v>
      </c>
      <c r="AZ8" s="52" t="s">
        <v>86</v>
      </c>
      <c r="BA8" s="52"/>
    </row>
    <row r="9" spans="1:53" ht="15.75" customHeight="1" x14ac:dyDescent="0.25">
      <c r="A9" s="9" t="s">
        <v>87</v>
      </c>
      <c r="B9" s="9" t="s">
        <v>57</v>
      </c>
      <c r="C9" s="9" t="s">
        <v>103</v>
      </c>
      <c r="D9" s="9" t="s">
        <v>59</v>
      </c>
      <c r="E9" s="9" t="s">
        <v>60</v>
      </c>
      <c r="F9" s="9" t="s">
        <v>164</v>
      </c>
      <c r="G9" s="9" t="s">
        <v>165</v>
      </c>
      <c r="H9" s="9">
        <v>65</v>
      </c>
      <c r="I9" s="9" t="s">
        <v>63</v>
      </c>
      <c r="J9" s="9" t="s">
        <v>64</v>
      </c>
      <c r="K9" s="9" t="s">
        <v>65</v>
      </c>
      <c r="L9" s="9" t="s">
        <v>97</v>
      </c>
      <c r="M9" s="9">
        <v>2</v>
      </c>
      <c r="N9" s="9" t="s">
        <v>166</v>
      </c>
      <c r="O9" s="9" t="s">
        <v>68</v>
      </c>
      <c r="P9" s="9" t="s">
        <v>69</v>
      </c>
      <c r="Q9" s="9" t="s">
        <v>70</v>
      </c>
      <c r="R9" s="9" t="s">
        <v>71</v>
      </c>
      <c r="S9" s="9" t="s">
        <v>72</v>
      </c>
      <c r="T9" s="9" t="s">
        <v>18</v>
      </c>
      <c r="U9" s="9" t="s">
        <v>18</v>
      </c>
      <c r="V9" s="9" t="s">
        <v>73</v>
      </c>
      <c r="W9" s="9" t="s">
        <v>74</v>
      </c>
      <c r="X9" s="9" t="s">
        <v>75</v>
      </c>
      <c r="Y9" s="9" t="s">
        <v>18</v>
      </c>
      <c r="Z9" s="9" t="s">
        <v>18</v>
      </c>
      <c r="AA9" s="9" t="s">
        <v>18</v>
      </c>
      <c r="AB9" s="9" t="s">
        <v>167</v>
      </c>
      <c r="AC9" s="9" t="s">
        <v>168</v>
      </c>
      <c r="AD9" s="9" t="s">
        <v>18</v>
      </c>
      <c r="AE9" s="9" t="s">
        <v>18</v>
      </c>
      <c r="AF9" s="9" t="s">
        <v>169</v>
      </c>
      <c r="AG9" s="9" t="s">
        <v>170</v>
      </c>
      <c r="AH9" s="9" t="s">
        <v>80</v>
      </c>
      <c r="AI9" s="9" t="s">
        <v>81</v>
      </c>
      <c r="AJ9" s="9" t="s">
        <v>45</v>
      </c>
      <c r="AK9" s="9" t="s">
        <v>45</v>
      </c>
      <c r="AL9" s="9" t="s">
        <v>45</v>
      </c>
      <c r="AM9" s="9" t="s">
        <v>82</v>
      </c>
      <c r="AN9" s="9" t="s">
        <v>45</v>
      </c>
      <c r="AO9" s="9" t="s">
        <v>45</v>
      </c>
      <c r="AP9" s="9" t="s">
        <v>82</v>
      </c>
      <c r="AQ9" s="9" t="s">
        <v>18</v>
      </c>
      <c r="AR9" s="9" t="s">
        <v>83</v>
      </c>
      <c r="AS9" s="9" t="s">
        <v>45</v>
      </c>
      <c r="AT9" s="9" t="s">
        <v>84</v>
      </c>
      <c r="AU9" s="9" t="s">
        <v>82</v>
      </c>
      <c r="AV9" s="48">
        <v>46156</v>
      </c>
      <c r="AW9" s="48">
        <v>46156</v>
      </c>
      <c r="AX9" s="9"/>
      <c r="AY9" s="9" t="s">
        <v>85</v>
      </c>
      <c r="AZ9" s="49" t="s">
        <v>86</v>
      </c>
      <c r="BA9" s="49"/>
    </row>
    <row r="10" spans="1:53" ht="15.75" customHeight="1" x14ac:dyDescent="0.25">
      <c r="A10" s="9" t="s">
        <v>56</v>
      </c>
      <c r="B10" s="9" t="s">
        <v>57</v>
      </c>
      <c r="C10" s="9" t="s">
        <v>103</v>
      </c>
      <c r="D10" s="9" t="s">
        <v>59</v>
      </c>
      <c r="E10" s="9" t="s">
        <v>60</v>
      </c>
      <c r="F10" s="9" t="s">
        <v>171</v>
      </c>
      <c r="G10" s="9" t="s">
        <v>172</v>
      </c>
      <c r="H10" s="9">
        <v>65</v>
      </c>
      <c r="I10" s="9" t="s">
        <v>63</v>
      </c>
      <c r="J10" s="9" t="s">
        <v>64</v>
      </c>
      <c r="K10" s="9" t="s">
        <v>65</v>
      </c>
      <c r="L10" s="9" t="s">
        <v>97</v>
      </c>
      <c r="M10" s="9">
        <v>2</v>
      </c>
      <c r="N10" s="9" t="s">
        <v>173</v>
      </c>
      <c r="O10" s="9" t="s">
        <v>68</v>
      </c>
      <c r="P10" s="9" t="s">
        <v>69</v>
      </c>
      <c r="Q10" s="9" t="s">
        <v>70</v>
      </c>
      <c r="R10" s="9" t="s">
        <v>71</v>
      </c>
      <c r="S10" s="9" t="s">
        <v>72</v>
      </c>
      <c r="T10" s="9" t="s">
        <v>18</v>
      </c>
      <c r="U10" s="9" t="s">
        <v>18</v>
      </c>
      <c r="V10" s="9" t="s">
        <v>73</v>
      </c>
      <c r="W10" s="9" t="s">
        <v>74</v>
      </c>
      <c r="X10" s="9" t="s">
        <v>75</v>
      </c>
      <c r="Y10" s="9" t="s">
        <v>18</v>
      </c>
      <c r="Z10" s="9" t="s">
        <v>18</v>
      </c>
      <c r="AA10" s="9" t="s">
        <v>18</v>
      </c>
      <c r="AB10" s="9" t="s">
        <v>18</v>
      </c>
      <c r="AC10" s="9" t="s">
        <v>174</v>
      </c>
      <c r="AD10" s="9" t="s">
        <v>175</v>
      </c>
      <c r="AE10" s="9" t="s">
        <v>18</v>
      </c>
      <c r="AF10" s="9" t="s">
        <v>176</v>
      </c>
      <c r="AG10" s="9" t="s">
        <v>177</v>
      </c>
      <c r="AH10" s="9" t="s">
        <v>80</v>
      </c>
      <c r="AI10" s="9" t="s">
        <v>81</v>
      </c>
      <c r="AJ10" s="9" t="s">
        <v>45</v>
      </c>
      <c r="AK10" s="9" t="s">
        <v>45</v>
      </c>
      <c r="AL10" s="9" t="s">
        <v>45</v>
      </c>
      <c r="AM10" s="9" t="s">
        <v>82</v>
      </c>
      <c r="AN10" s="9" t="s">
        <v>45</v>
      </c>
      <c r="AO10" s="9" t="s">
        <v>45</v>
      </c>
      <c r="AP10" s="9" t="s">
        <v>82</v>
      </c>
      <c r="AQ10" s="9" t="s">
        <v>18</v>
      </c>
      <c r="AR10" s="9" t="s">
        <v>83</v>
      </c>
      <c r="AS10" s="9" t="s">
        <v>45</v>
      </c>
      <c r="AT10" s="9" t="s">
        <v>84</v>
      </c>
      <c r="AU10" s="9" t="s">
        <v>82</v>
      </c>
      <c r="AV10" s="48">
        <v>46156</v>
      </c>
      <c r="AW10" s="48">
        <v>46156</v>
      </c>
      <c r="AX10" s="9" t="s">
        <v>86</v>
      </c>
      <c r="AY10" s="9" t="s">
        <v>85</v>
      </c>
      <c r="AZ10" s="49"/>
      <c r="BA10" s="49"/>
    </row>
    <row r="11" spans="1:53" ht="15.75" customHeight="1" x14ac:dyDescent="0.25">
      <c r="A11" s="9" t="s">
        <v>178</v>
      </c>
      <c r="B11" s="9" t="s">
        <v>57</v>
      </c>
      <c r="C11" s="9" t="s">
        <v>103</v>
      </c>
      <c r="D11" s="9" t="s">
        <v>59</v>
      </c>
      <c r="E11" s="9" t="s">
        <v>60</v>
      </c>
      <c r="F11" s="9" t="s">
        <v>179</v>
      </c>
      <c r="G11" s="9" t="s">
        <v>180</v>
      </c>
      <c r="H11" s="9">
        <v>65</v>
      </c>
      <c r="I11" s="9" t="s">
        <v>63</v>
      </c>
      <c r="J11" s="9" t="s">
        <v>64</v>
      </c>
      <c r="K11" s="9" t="s">
        <v>65</v>
      </c>
      <c r="L11" s="9" t="s">
        <v>97</v>
      </c>
      <c r="M11" s="9">
        <v>2</v>
      </c>
      <c r="N11" s="9" t="s">
        <v>181</v>
      </c>
      <c r="O11" s="9" t="s">
        <v>68</v>
      </c>
      <c r="P11" s="9" t="s">
        <v>69</v>
      </c>
      <c r="Q11" s="9" t="s">
        <v>70</v>
      </c>
      <c r="R11" s="9" t="s">
        <v>71</v>
      </c>
      <c r="S11" s="9" t="s">
        <v>72</v>
      </c>
      <c r="T11" s="9" t="s">
        <v>18</v>
      </c>
      <c r="U11" s="9" t="s">
        <v>18</v>
      </c>
      <c r="V11" s="9" t="s">
        <v>73</v>
      </c>
      <c r="W11" s="9" t="s">
        <v>74</v>
      </c>
      <c r="X11" s="9" t="s">
        <v>75</v>
      </c>
      <c r="Y11" s="9" t="s">
        <v>18</v>
      </c>
      <c r="Z11" s="9" t="s">
        <v>18</v>
      </c>
      <c r="AA11" s="9" t="s">
        <v>18</v>
      </c>
      <c r="AB11" s="9" t="s">
        <v>182</v>
      </c>
      <c r="AC11" s="9" t="s">
        <v>183</v>
      </c>
      <c r="AD11" s="9" t="s">
        <v>184</v>
      </c>
      <c r="AE11" s="9" t="s">
        <v>18</v>
      </c>
      <c r="AF11" s="9" t="s">
        <v>185</v>
      </c>
      <c r="AG11" s="9" t="s">
        <v>186</v>
      </c>
      <c r="AH11" s="9" t="s">
        <v>80</v>
      </c>
      <c r="AI11" s="9" t="s">
        <v>137</v>
      </c>
      <c r="AJ11" s="9" t="s">
        <v>45</v>
      </c>
      <c r="AK11" s="9" t="s">
        <v>45</v>
      </c>
      <c r="AL11" s="9" t="s">
        <v>45</v>
      </c>
      <c r="AM11" s="9" t="s">
        <v>82</v>
      </c>
      <c r="AN11" s="9" t="s">
        <v>45</v>
      </c>
      <c r="AO11" s="9" t="s">
        <v>82</v>
      </c>
      <c r="AP11" s="9" t="s">
        <v>82</v>
      </c>
      <c r="AQ11" s="9" t="s">
        <v>18</v>
      </c>
      <c r="AR11" s="9" t="s">
        <v>83</v>
      </c>
      <c r="AS11" s="9" t="s">
        <v>82</v>
      </c>
      <c r="AT11" s="9" t="s">
        <v>84</v>
      </c>
      <c r="AU11" s="9" t="s">
        <v>82</v>
      </c>
      <c r="AV11" s="48">
        <v>46156</v>
      </c>
      <c r="AW11" s="48">
        <v>46156</v>
      </c>
      <c r="AX11" s="9"/>
      <c r="AY11" s="9" t="s">
        <v>187</v>
      </c>
      <c r="AZ11" s="49" t="s">
        <v>86</v>
      </c>
      <c r="BA11" s="49"/>
    </row>
    <row r="12" spans="1:53" ht="15.75" customHeight="1" x14ac:dyDescent="0.25">
      <c r="A12" s="9" t="s">
        <v>56</v>
      </c>
      <c r="B12" s="9" t="s">
        <v>57</v>
      </c>
      <c r="C12" s="9" t="s">
        <v>103</v>
      </c>
      <c r="D12" s="9" t="s">
        <v>59</v>
      </c>
      <c r="E12" s="9" t="s">
        <v>60</v>
      </c>
      <c r="F12" s="9" t="s">
        <v>188</v>
      </c>
      <c r="G12" s="9" t="s">
        <v>189</v>
      </c>
      <c r="H12" s="9">
        <v>65</v>
      </c>
      <c r="I12" s="9" t="s">
        <v>63</v>
      </c>
      <c r="J12" s="9" t="s">
        <v>64</v>
      </c>
      <c r="K12" s="9" t="s">
        <v>65</v>
      </c>
      <c r="L12" s="9" t="s">
        <v>97</v>
      </c>
      <c r="M12" s="9">
        <v>2</v>
      </c>
      <c r="N12" s="9" t="s">
        <v>190</v>
      </c>
      <c r="O12" s="9" t="s">
        <v>68</v>
      </c>
      <c r="P12" s="9" t="s">
        <v>69</v>
      </c>
      <c r="Q12" s="9" t="s">
        <v>70</v>
      </c>
      <c r="R12" s="9" t="s">
        <v>71</v>
      </c>
      <c r="S12" s="9" t="s">
        <v>72</v>
      </c>
      <c r="T12" s="9" t="s">
        <v>18</v>
      </c>
      <c r="U12" s="9" t="s">
        <v>18</v>
      </c>
      <c r="V12" s="9" t="s">
        <v>73</v>
      </c>
      <c r="W12" s="9" t="s">
        <v>74</v>
      </c>
      <c r="X12" s="9" t="s">
        <v>75</v>
      </c>
      <c r="Y12" s="9" t="s">
        <v>18</v>
      </c>
      <c r="Z12" s="9" t="s">
        <v>18</v>
      </c>
      <c r="AA12" s="9" t="s">
        <v>18</v>
      </c>
      <c r="AB12" s="9" t="s">
        <v>191</v>
      </c>
      <c r="AC12" s="9" t="s">
        <v>18</v>
      </c>
      <c r="AD12" s="9" t="s">
        <v>18</v>
      </c>
      <c r="AE12" s="9" t="s">
        <v>18</v>
      </c>
      <c r="AF12" s="9" t="s">
        <v>192</v>
      </c>
      <c r="AG12" s="9" t="s">
        <v>193</v>
      </c>
      <c r="AH12" s="9" t="s">
        <v>80</v>
      </c>
      <c r="AI12" s="9" t="s">
        <v>81</v>
      </c>
      <c r="AJ12" s="9" t="s">
        <v>45</v>
      </c>
      <c r="AK12" s="9" t="s">
        <v>45</v>
      </c>
      <c r="AL12" s="9" t="s">
        <v>45</v>
      </c>
      <c r="AM12" s="9" t="s">
        <v>82</v>
      </c>
      <c r="AN12" s="9" t="s">
        <v>45</v>
      </c>
      <c r="AO12" s="9" t="s">
        <v>82</v>
      </c>
      <c r="AP12" s="9" t="s">
        <v>82</v>
      </c>
      <c r="AQ12" s="9" t="s">
        <v>18</v>
      </c>
      <c r="AR12" s="9" t="s">
        <v>83</v>
      </c>
      <c r="AS12" s="9" t="s">
        <v>45</v>
      </c>
      <c r="AT12" s="9" t="s">
        <v>84</v>
      </c>
      <c r="AU12" s="9" t="s">
        <v>82</v>
      </c>
      <c r="AV12" s="48">
        <v>46156</v>
      </c>
      <c r="AW12" s="48">
        <v>46156</v>
      </c>
      <c r="AX12" s="9"/>
      <c r="AY12" s="9" t="s">
        <v>85</v>
      </c>
      <c r="AZ12" s="49" t="s">
        <v>86</v>
      </c>
      <c r="BA12" s="49"/>
    </row>
    <row r="13" spans="1:53" ht="15.75" customHeight="1" x14ac:dyDescent="0.25">
      <c r="A13" s="9" t="s">
        <v>178</v>
      </c>
      <c r="B13" s="9" t="s">
        <v>57</v>
      </c>
      <c r="C13" s="9" t="s">
        <v>103</v>
      </c>
      <c r="D13" s="9" t="s">
        <v>59</v>
      </c>
      <c r="E13" s="9" t="s">
        <v>60</v>
      </c>
      <c r="F13" s="9" t="s">
        <v>194</v>
      </c>
      <c r="G13" s="9" t="s">
        <v>195</v>
      </c>
      <c r="H13" s="9">
        <v>65</v>
      </c>
      <c r="I13" s="9" t="s">
        <v>63</v>
      </c>
      <c r="J13" s="9" t="s">
        <v>64</v>
      </c>
      <c r="K13" s="9" t="s">
        <v>65</v>
      </c>
      <c r="L13" s="9" t="s">
        <v>97</v>
      </c>
      <c r="M13" s="9">
        <v>2</v>
      </c>
      <c r="N13" s="9" t="s">
        <v>18</v>
      </c>
      <c r="O13" s="9" t="s">
        <v>17</v>
      </c>
      <c r="P13" s="9" t="s">
        <v>69</v>
      </c>
      <c r="Q13" s="9" t="s">
        <v>70</v>
      </c>
      <c r="R13" s="9" t="s">
        <v>71</v>
      </c>
      <c r="S13" s="9" t="s">
        <v>72</v>
      </c>
      <c r="T13" s="9" t="s">
        <v>18</v>
      </c>
      <c r="U13" s="9" t="s">
        <v>18</v>
      </c>
      <c r="V13" s="9" t="s">
        <v>73</v>
      </c>
      <c r="W13" s="9" t="s">
        <v>74</v>
      </c>
      <c r="X13" s="9" t="s">
        <v>75</v>
      </c>
      <c r="Y13" s="9" t="s">
        <v>18</v>
      </c>
      <c r="Z13" s="9" t="s">
        <v>18</v>
      </c>
      <c r="AA13" s="9" t="s">
        <v>18</v>
      </c>
      <c r="AB13" s="9" t="s">
        <v>196</v>
      </c>
      <c r="AC13" s="9" t="s">
        <v>197</v>
      </c>
      <c r="AD13" s="9" t="s">
        <v>198</v>
      </c>
      <c r="AE13" s="9" t="s">
        <v>18</v>
      </c>
      <c r="AF13" s="9" t="s">
        <v>199</v>
      </c>
      <c r="AG13" s="9" t="s">
        <v>200</v>
      </c>
      <c r="AH13" s="9" t="s">
        <v>80</v>
      </c>
      <c r="AI13" s="9" t="s">
        <v>137</v>
      </c>
      <c r="AJ13" s="9" t="s">
        <v>45</v>
      </c>
      <c r="AK13" s="9" t="s">
        <v>45</v>
      </c>
      <c r="AL13" s="9" t="s">
        <v>45</v>
      </c>
      <c r="AM13" s="9" t="s">
        <v>82</v>
      </c>
      <c r="AN13" s="9" t="s">
        <v>45</v>
      </c>
      <c r="AO13" s="9" t="s">
        <v>45</v>
      </c>
      <c r="AP13" s="9" t="s">
        <v>82</v>
      </c>
      <c r="AQ13" s="9" t="s">
        <v>18</v>
      </c>
      <c r="AR13" s="9" t="s">
        <v>83</v>
      </c>
      <c r="AS13" s="9" t="s">
        <v>45</v>
      </c>
      <c r="AT13" s="9" t="s">
        <v>84</v>
      </c>
      <c r="AU13" s="9" t="s">
        <v>82</v>
      </c>
      <c r="AV13" s="48">
        <v>46156</v>
      </c>
      <c r="AW13" s="48">
        <v>46156</v>
      </c>
      <c r="AX13" s="9" t="s">
        <v>86</v>
      </c>
      <c r="AY13" s="9" t="s">
        <v>201</v>
      </c>
      <c r="AZ13" s="49"/>
      <c r="BA13" s="49"/>
    </row>
    <row r="14" spans="1:53" ht="15.75" customHeight="1" x14ac:dyDescent="0.25">
      <c r="A14" s="9" t="s">
        <v>87</v>
      </c>
      <c r="B14" s="9" t="s">
        <v>57</v>
      </c>
      <c r="C14" s="9" t="s">
        <v>103</v>
      </c>
      <c r="D14" s="9" t="s">
        <v>59</v>
      </c>
      <c r="E14" s="9" t="s">
        <v>60</v>
      </c>
      <c r="F14" s="9" t="s">
        <v>202</v>
      </c>
      <c r="G14" s="9" t="s">
        <v>203</v>
      </c>
      <c r="H14" s="9">
        <v>65</v>
      </c>
      <c r="I14" s="9" t="s">
        <v>63</v>
      </c>
      <c r="J14" s="9" t="s">
        <v>64</v>
      </c>
      <c r="K14" s="9" t="s">
        <v>65</v>
      </c>
      <c r="L14" s="9" t="s">
        <v>97</v>
      </c>
      <c r="M14" s="9">
        <v>2</v>
      </c>
      <c r="N14" s="9" t="s">
        <v>204</v>
      </c>
      <c r="O14" s="9" t="s">
        <v>17</v>
      </c>
      <c r="P14" s="9" t="s">
        <v>69</v>
      </c>
      <c r="Q14" s="9" t="s">
        <v>70</v>
      </c>
      <c r="R14" s="9" t="s">
        <v>71</v>
      </c>
      <c r="S14" s="9" t="s">
        <v>72</v>
      </c>
      <c r="T14" s="9" t="s">
        <v>18</v>
      </c>
      <c r="U14" s="9" t="s">
        <v>18</v>
      </c>
      <c r="V14" s="9" t="s">
        <v>73</v>
      </c>
      <c r="W14" s="9" t="s">
        <v>74</v>
      </c>
      <c r="X14" s="9" t="s">
        <v>75</v>
      </c>
      <c r="Y14" s="9" t="s">
        <v>18</v>
      </c>
      <c r="Z14" s="9" t="s">
        <v>18</v>
      </c>
      <c r="AA14" s="9" t="s">
        <v>18</v>
      </c>
      <c r="AB14" s="9" t="s">
        <v>205</v>
      </c>
      <c r="AC14" s="9" t="s">
        <v>206</v>
      </c>
      <c r="AD14" s="9" t="s">
        <v>207</v>
      </c>
      <c r="AE14" s="9" t="s">
        <v>18</v>
      </c>
      <c r="AF14" s="9" t="s">
        <v>208</v>
      </c>
      <c r="AG14" s="9" t="s">
        <v>209</v>
      </c>
      <c r="AH14" s="9" t="s">
        <v>80</v>
      </c>
      <c r="AI14" s="9" t="s">
        <v>81</v>
      </c>
      <c r="AJ14" s="9" t="s">
        <v>45</v>
      </c>
      <c r="AK14" s="9" t="s">
        <v>45</v>
      </c>
      <c r="AL14" s="9" t="s">
        <v>45</v>
      </c>
      <c r="AM14" s="9" t="s">
        <v>82</v>
      </c>
      <c r="AN14" s="9" t="s">
        <v>45</v>
      </c>
      <c r="AO14" s="9" t="s">
        <v>82</v>
      </c>
      <c r="AP14" s="9" t="s">
        <v>82</v>
      </c>
      <c r="AQ14" s="9" t="s">
        <v>18</v>
      </c>
      <c r="AR14" s="9" t="s">
        <v>83</v>
      </c>
      <c r="AS14" s="9" t="s">
        <v>45</v>
      </c>
      <c r="AT14" s="9" t="s">
        <v>84</v>
      </c>
      <c r="AU14" s="9" t="s">
        <v>82</v>
      </c>
      <c r="AV14" s="48">
        <v>46156</v>
      </c>
      <c r="AW14" s="48">
        <v>46156</v>
      </c>
      <c r="AX14" s="9"/>
      <c r="AY14" s="9" t="s">
        <v>85</v>
      </c>
      <c r="AZ14" s="49" t="s">
        <v>86</v>
      </c>
      <c r="BA14" s="49"/>
    </row>
    <row r="15" spans="1:53" ht="15.75" customHeight="1" x14ac:dyDescent="0.25">
      <c r="A15" s="9" t="s">
        <v>178</v>
      </c>
      <c r="B15" s="9" t="s">
        <v>57</v>
      </c>
      <c r="C15" s="9" t="s">
        <v>103</v>
      </c>
      <c r="D15" s="9" t="s">
        <v>59</v>
      </c>
      <c r="E15" s="9" t="s">
        <v>60</v>
      </c>
      <c r="F15" s="9" t="s">
        <v>210</v>
      </c>
      <c r="G15" s="9" t="s">
        <v>211</v>
      </c>
      <c r="H15" s="9">
        <v>65</v>
      </c>
      <c r="I15" s="9" t="s">
        <v>63</v>
      </c>
      <c r="J15" s="9" t="s">
        <v>64</v>
      </c>
      <c r="K15" s="9" t="s">
        <v>65</v>
      </c>
      <c r="L15" s="9" t="s">
        <v>97</v>
      </c>
      <c r="M15" s="9">
        <v>2</v>
      </c>
      <c r="N15" s="9" t="s">
        <v>18</v>
      </c>
      <c r="O15" s="9" t="s">
        <v>17</v>
      </c>
      <c r="P15" s="9" t="s">
        <v>69</v>
      </c>
      <c r="Q15" s="9" t="s">
        <v>70</v>
      </c>
      <c r="R15" s="9" t="s">
        <v>71</v>
      </c>
      <c r="S15" s="9" t="s">
        <v>72</v>
      </c>
      <c r="T15" s="9" t="s">
        <v>18</v>
      </c>
      <c r="U15" s="9" t="s">
        <v>18</v>
      </c>
      <c r="V15" s="9" t="s">
        <v>73</v>
      </c>
      <c r="W15" s="9" t="s">
        <v>110</v>
      </c>
      <c r="X15" s="9" t="s">
        <v>75</v>
      </c>
      <c r="Y15" s="9" t="s">
        <v>18</v>
      </c>
      <c r="Z15" s="9" t="s">
        <v>18</v>
      </c>
      <c r="AA15" s="9" t="s">
        <v>18</v>
      </c>
      <c r="AB15" s="9" t="s">
        <v>212</v>
      </c>
      <c r="AC15" s="9" t="s">
        <v>213</v>
      </c>
      <c r="AD15" s="9" t="s">
        <v>214</v>
      </c>
      <c r="AE15" s="9" t="s">
        <v>18</v>
      </c>
      <c r="AF15" s="9" t="s">
        <v>215</v>
      </c>
      <c r="AG15" s="9" t="s">
        <v>216</v>
      </c>
      <c r="AH15" s="9" t="s">
        <v>80</v>
      </c>
      <c r="AI15" s="9" t="s">
        <v>137</v>
      </c>
      <c r="AJ15" s="9" t="s">
        <v>45</v>
      </c>
      <c r="AK15" s="9" t="s">
        <v>45</v>
      </c>
      <c r="AL15" s="9" t="s">
        <v>45</v>
      </c>
      <c r="AM15" s="9" t="s">
        <v>82</v>
      </c>
      <c r="AN15" s="9" t="s">
        <v>45</v>
      </c>
      <c r="AO15" s="9" t="s">
        <v>18</v>
      </c>
      <c r="AP15" s="9" t="s">
        <v>82</v>
      </c>
      <c r="AQ15" s="9" t="s">
        <v>18</v>
      </c>
      <c r="AR15" s="9" t="s">
        <v>83</v>
      </c>
      <c r="AS15" s="9" t="s">
        <v>45</v>
      </c>
      <c r="AT15" s="9" t="s">
        <v>84</v>
      </c>
      <c r="AU15" s="9" t="s">
        <v>82</v>
      </c>
      <c r="AV15" s="48">
        <v>46156</v>
      </c>
      <c r="AW15" s="48">
        <v>46156</v>
      </c>
      <c r="AX15" s="9" t="s">
        <v>86</v>
      </c>
      <c r="AY15" s="9" t="s">
        <v>85</v>
      </c>
      <c r="AZ15" s="49"/>
      <c r="BA15" s="49"/>
    </row>
    <row r="16" spans="1:53" ht="15.75" customHeight="1" x14ac:dyDescent="0.25">
      <c r="A16" s="9" t="s">
        <v>56</v>
      </c>
      <c r="B16" s="9" t="s">
        <v>57</v>
      </c>
      <c r="C16" s="9" t="s">
        <v>103</v>
      </c>
      <c r="D16" s="9" t="s">
        <v>59</v>
      </c>
      <c r="E16" s="9" t="s">
        <v>60</v>
      </c>
      <c r="F16" s="9" t="s">
        <v>217</v>
      </c>
      <c r="G16" s="9" t="s">
        <v>218</v>
      </c>
      <c r="H16" s="9">
        <v>65</v>
      </c>
      <c r="I16" s="9" t="s">
        <v>63</v>
      </c>
      <c r="J16" s="9" t="s">
        <v>64</v>
      </c>
      <c r="K16" s="9" t="s">
        <v>65</v>
      </c>
      <c r="L16" s="9" t="s">
        <v>219</v>
      </c>
      <c r="M16" s="9">
        <v>2</v>
      </c>
      <c r="N16" s="9" t="s">
        <v>220</v>
      </c>
      <c r="O16" s="9" t="s">
        <v>68</v>
      </c>
      <c r="P16" s="9" t="s">
        <v>69</v>
      </c>
      <c r="Q16" s="9" t="s">
        <v>70</v>
      </c>
      <c r="R16" s="9" t="s">
        <v>71</v>
      </c>
      <c r="S16" s="9" t="s">
        <v>72</v>
      </c>
      <c r="T16" s="9" t="s">
        <v>18</v>
      </c>
      <c r="U16" s="9" t="s">
        <v>18</v>
      </c>
      <c r="V16" s="9" t="s">
        <v>73</v>
      </c>
      <c r="W16" s="9" t="s">
        <v>74</v>
      </c>
      <c r="X16" s="9" t="s">
        <v>75</v>
      </c>
      <c r="Y16" s="9" t="s">
        <v>18</v>
      </c>
      <c r="Z16" s="9" t="s">
        <v>18</v>
      </c>
      <c r="AA16" s="9" t="s">
        <v>18</v>
      </c>
      <c r="AB16" s="9" t="s">
        <v>221</v>
      </c>
      <c r="AC16" s="9" t="s">
        <v>222</v>
      </c>
      <c r="AD16" s="9" t="s">
        <v>223</v>
      </c>
      <c r="AE16" s="9" t="s">
        <v>18</v>
      </c>
      <c r="AF16" s="9" t="s">
        <v>224</v>
      </c>
      <c r="AG16" s="9" t="s">
        <v>225</v>
      </c>
      <c r="AH16" s="9" t="s">
        <v>80</v>
      </c>
      <c r="AI16" s="9" t="s">
        <v>81</v>
      </c>
      <c r="AJ16" s="9" t="s">
        <v>45</v>
      </c>
      <c r="AK16" s="9" t="s">
        <v>45</v>
      </c>
      <c r="AL16" s="9" t="s">
        <v>45</v>
      </c>
      <c r="AM16" s="9" t="s">
        <v>82</v>
      </c>
      <c r="AN16" s="9" t="s">
        <v>45</v>
      </c>
      <c r="AO16" s="9" t="s">
        <v>18</v>
      </c>
      <c r="AP16" s="9" t="s">
        <v>82</v>
      </c>
      <c r="AQ16" s="9" t="s">
        <v>18</v>
      </c>
      <c r="AR16" s="9" t="s">
        <v>83</v>
      </c>
      <c r="AS16" s="9" t="s">
        <v>45</v>
      </c>
      <c r="AT16" s="9" t="s">
        <v>84</v>
      </c>
      <c r="AU16" s="9" t="s">
        <v>82</v>
      </c>
      <c r="AV16" s="48">
        <v>46156</v>
      </c>
      <c r="AW16" s="48">
        <v>46156</v>
      </c>
      <c r="AX16" s="9" t="s">
        <v>86</v>
      </c>
      <c r="AY16" s="9" t="s">
        <v>85</v>
      </c>
      <c r="AZ16" s="49"/>
      <c r="BA16" s="49"/>
    </row>
    <row r="17" spans="1:53" ht="15.75" customHeight="1" x14ac:dyDescent="0.25">
      <c r="A17" s="9" t="s">
        <v>56</v>
      </c>
      <c r="B17" s="9" t="s">
        <v>102</v>
      </c>
      <c r="C17" s="9" t="s">
        <v>103</v>
      </c>
      <c r="D17" s="9" t="s">
        <v>59</v>
      </c>
      <c r="E17" s="9" t="s">
        <v>104</v>
      </c>
      <c r="F17" s="9" t="s">
        <v>226</v>
      </c>
      <c r="G17" s="9" t="s">
        <v>227</v>
      </c>
      <c r="H17" s="9">
        <v>65</v>
      </c>
      <c r="I17" s="9" t="s">
        <v>63</v>
      </c>
      <c r="J17" s="9" t="s">
        <v>64</v>
      </c>
      <c r="K17" s="9" t="s">
        <v>65</v>
      </c>
      <c r="L17" s="9" t="s">
        <v>228</v>
      </c>
      <c r="M17" s="9">
        <v>2</v>
      </c>
      <c r="N17" s="9" t="s">
        <v>229</v>
      </c>
      <c r="O17" s="9" t="s">
        <v>17</v>
      </c>
      <c r="P17" s="9" t="s">
        <v>69</v>
      </c>
      <c r="Q17" s="9" t="s">
        <v>109</v>
      </c>
      <c r="R17" s="9" t="s">
        <v>71</v>
      </c>
      <c r="S17" s="9" t="s">
        <v>72</v>
      </c>
      <c r="T17" s="9" t="s">
        <v>18</v>
      </c>
      <c r="U17" s="9" t="s">
        <v>18</v>
      </c>
      <c r="V17" s="9" t="s">
        <v>73</v>
      </c>
      <c r="W17" s="9" t="s">
        <v>110</v>
      </c>
      <c r="X17" s="9" t="s">
        <v>111</v>
      </c>
      <c r="Y17" s="9" t="s">
        <v>18</v>
      </c>
      <c r="Z17" s="9" t="s">
        <v>18</v>
      </c>
      <c r="AA17" s="9" t="s">
        <v>18</v>
      </c>
      <c r="AB17" s="9" t="s">
        <v>18</v>
      </c>
      <c r="AC17" s="9" t="s">
        <v>18</v>
      </c>
      <c r="AD17" s="9" t="s">
        <v>18</v>
      </c>
      <c r="AE17" s="9" t="s">
        <v>230</v>
      </c>
      <c r="AF17" s="9" t="s">
        <v>231</v>
      </c>
      <c r="AG17" s="9" t="s">
        <v>232</v>
      </c>
      <c r="AH17" s="9" t="s">
        <v>80</v>
      </c>
      <c r="AI17" s="9" t="s">
        <v>81</v>
      </c>
      <c r="AJ17" s="9" t="s">
        <v>45</v>
      </c>
      <c r="AK17" s="9" t="s">
        <v>45</v>
      </c>
      <c r="AL17" s="9" t="s">
        <v>45</v>
      </c>
      <c r="AM17" s="9" t="s">
        <v>82</v>
      </c>
      <c r="AN17" s="9" t="s">
        <v>45</v>
      </c>
      <c r="AO17" s="9" t="s">
        <v>45</v>
      </c>
      <c r="AP17" s="9" t="s">
        <v>82</v>
      </c>
      <c r="AQ17" s="9" t="s">
        <v>18</v>
      </c>
      <c r="AR17" s="9" t="s">
        <v>83</v>
      </c>
      <c r="AS17" s="9" t="s">
        <v>45</v>
      </c>
      <c r="AT17" s="9" t="s">
        <v>84</v>
      </c>
      <c r="AU17" s="9" t="s">
        <v>82</v>
      </c>
      <c r="AV17" s="48">
        <v>46156</v>
      </c>
      <c r="AW17" s="48">
        <v>46156</v>
      </c>
      <c r="AX17" s="9"/>
      <c r="AY17" s="9" t="s">
        <v>85</v>
      </c>
      <c r="AZ17" s="49" t="s">
        <v>86</v>
      </c>
      <c r="BA17" s="49"/>
    </row>
    <row r="18" spans="1:53" ht="15.75" customHeight="1" x14ac:dyDescent="0.25">
      <c r="A18" s="9" t="s">
        <v>56</v>
      </c>
      <c r="B18" s="9" t="s">
        <v>57</v>
      </c>
      <c r="C18" s="9" t="s">
        <v>103</v>
      </c>
      <c r="D18" s="9" t="s">
        <v>59</v>
      </c>
      <c r="E18" s="9" t="s">
        <v>60</v>
      </c>
      <c r="F18" s="9" t="s">
        <v>233</v>
      </c>
      <c r="G18" s="9" t="s">
        <v>234</v>
      </c>
      <c r="H18" s="9">
        <v>65</v>
      </c>
      <c r="I18" s="9" t="s">
        <v>63</v>
      </c>
      <c r="J18" s="9" t="s">
        <v>64</v>
      </c>
      <c r="K18" s="9" t="s">
        <v>65</v>
      </c>
      <c r="L18" s="9" t="s">
        <v>219</v>
      </c>
      <c r="M18" s="9">
        <v>2</v>
      </c>
      <c r="N18" s="9" t="s">
        <v>235</v>
      </c>
      <c r="O18" s="9" t="s">
        <v>68</v>
      </c>
      <c r="P18" s="9" t="s">
        <v>69</v>
      </c>
      <c r="Q18" s="9" t="s">
        <v>70</v>
      </c>
      <c r="R18" s="9" t="s">
        <v>71</v>
      </c>
      <c r="S18" s="9" t="s">
        <v>72</v>
      </c>
      <c r="T18" s="9" t="s">
        <v>18</v>
      </c>
      <c r="U18" s="9" t="s">
        <v>18</v>
      </c>
      <c r="V18" s="9" t="s">
        <v>73</v>
      </c>
      <c r="W18" s="9" t="s">
        <v>74</v>
      </c>
      <c r="X18" s="9" t="s">
        <v>75</v>
      </c>
      <c r="Y18" s="9" t="s">
        <v>18</v>
      </c>
      <c r="Z18" s="9" t="s">
        <v>18</v>
      </c>
      <c r="AA18" s="9" t="s">
        <v>18</v>
      </c>
      <c r="AB18" s="9" t="s">
        <v>236</v>
      </c>
      <c r="AC18" s="9" t="s">
        <v>237</v>
      </c>
      <c r="AD18" s="9" t="s">
        <v>238</v>
      </c>
      <c r="AE18" s="9" t="s">
        <v>18</v>
      </c>
      <c r="AF18" s="9" t="s">
        <v>239</v>
      </c>
      <c r="AG18" s="9" t="s">
        <v>240</v>
      </c>
      <c r="AH18" s="9" t="s">
        <v>80</v>
      </c>
      <c r="AI18" s="9" t="s">
        <v>81</v>
      </c>
      <c r="AJ18" s="9" t="s">
        <v>45</v>
      </c>
      <c r="AK18" s="9" t="s">
        <v>45</v>
      </c>
      <c r="AL18" s="9" t="s">
        <v>45</v>
      </c>
      <c r="AM18" s="9" t="s">
        <v>82</v>
      </c>
      <c r="AN18" s="9" t="s">
        <v>45</v>
      </c>
      <c r="AO18" s="9" t="s">
        <v>18</v>
      </c>
      <c r="AP18" s="9" t="s">
        <v>82</v>
      </c>
      <c r="AQ18" s="9" t="s">
        <v>18</v>
      </c>
      <c r="AR18" s="9" t="s">
        <v>83</v>
      </c>
      <c r="AS18" s="9" t="s">
        <v>45</v>
      </c>
      <c r="AT18" s="9" t="s">
        <v>84</v>
      </c>
      <c r="AU18" s="9" t="s">
        <v>82</v>
      </c>
      <c r="AV18" s="48">
        <v>46156</v>
      </c>
      <c r="AW18" s="48">
        <v>46156</v>
      </c>
      <c r="AX18" s="9" t="s">
        <v>86</v>
      </c>
      <c r="AY18" s="9" t="s">
        <v>85</v>
      </c>
      <c r="AZ18" s="49"/>
      <c r="BA18" s="49"/>
    </row>
    <row r="19" spans="1:53" ht="15.75" customHeight="1" x14ac:dyDescent="0.25">
      <c r="A19" s="9" t="s">
        <v>56</v>
      </c>
      <c r="B19" s="9" t="s">
        <v>57</v>
      </c>
      <c r="C19" s="9" t="s">
        <v>103</v>
      </c>
      <c r="D19" s="9" t="s">
        <v>59</v>
      </c>
      <c r="E19" s="9" t="s">
        <v>60</v>
      </c>
      <c r="F19" s="9" t="s">
        <v>241</v>
      </c>
      <c r="G19" s="9" t="s">
        <v>242</v>
      </c>
      <c r="H19" s="9">
        <v>65</v>
      </c>
      <c r="I19" s="9" t="s">
        <v>63</v>
      </c>
      <c r="J19" s="9" t="s">
        <v>64</v>
      </c>
      <c r="K19" s="9" t="s">
        <v>65</v>
      </c>
      <c r="L19" s="9" t="s">
        <v>243</v>
      </c>
      <c r="M19" s="9">
        <v>2</v>
      </c>
      <c r="N19" s="9" t="s">
        <v>244</v>
      </c>
      <c r="O19" s="9" t="s">
        <v>68</v>
      </c>
      <c r="P19" s="9" t="s">
        <v>69</v>
      </c>
      <c r="Q19" s="9" t="s">
        <v>70</v>
      </c>
      <c r="R19" s="9" t="s">
        <v>126</v>
      </c>
      <c r="S19" s="9"/>
      <c r="T19" s="9" t="s">
        <v>18</v>
      </c>
      <c r="U19" s="9" t="s">
        <v>18</v>
      </c>
      <c r="V19" s="9" t="s">
        <v>73</v>
      </c>
      <c r="W19" s="9" t="s">
        <v>74</v>
      </c>
      <c r="X19" s="9" t="s">
        <v>75</v>
      </c>
      <c r="Y19" s="9" t="s">
        <v>18</v>
      </c>
      <c r="Z19" s="9" t="s">
        <v>18</v>
      </c>
      <c r="AA19" s="9" t="s">
        <v>18</v>
      </c>
      <c r="AB19" s="9" t="s">
        <v>245</v>
      </c>
      <c r="AC19" s="9" t="s">
        <v>18</v>
      </c>
      <c r="AD19" s="9" t="s">
        <v>246</v>
      </c>
      <c r="AE19" s="9" t="s">
        <v>18</v>
      </c>
      <c r="AF19" s="9" t="s">
        <v>247</v>
      </c>
      <c r="AG19" s="9" t="s">
        <v>248</v>
      </c>
      <c r="AH19" s="9" t="s">
        <v>80</v>
      </c>
      <c r="AI19" s="9" t="s">
        <v>81</v>
      </c>
      <c r="AJ19" s="9" t="s">
        <v>45</v>
      </c>
      <c r="AK19" s="9" t="s">
        <v>45</v>
      </c>
      <c r="AL19" s="9" t="s">
        <v>45</v>
      </c>
      <c r="AM19" s="9" t="s">
        <v>82</v>
      </c>
      <c r="AN19" s="9" t="s">
        <v>45</v>
      </c>
      <c r="AO19" s="9" t="s">
        <v>45</v>
      </c>
      <c r="AP19" s="9" t="s">
        <v>82</v>
      </c>
      <c r="AQ19" s="9" t="s">
        <v>18</v>
      </c>
      <c r="AR19" s="9" t="s">
        <v>83</v>
      </c>
      <c r="AS19" s="9" t="s">
        <v>45</v>
      </c>
      <c r="AT19" s="9" t="s">
        <v>84</v>
      </c>
      <c r="AU19" s="9" t="s">
        <v>82</v>
      </c>
      <c r="AV19" s="48">
        <v>46156</v>
      </c>
      <c r="AW19" s="48">
        <v>46156</v>
      </c>
      <c r="AX19" s="9"/>
      <c r="AY19" s="9" t="s">
        <v>85</v>
      </c>
      <c r="AZ19" s="49" t="s">
        <v>86</v>
      </c>
      <c r="BA19" s="49"/>
    </row>
    <row r="20" spans="1:53" ht="15.75" customHeight="1" x14ac:dyDescent="0.25">
      <c r="A20" s="9" t="s">
        <v>87</v>
      </c>
      <c r="B20" s="9" t="s">
        <v>102</v>
      </c>
      <c r="C20" s="9" t="s">
        <v>103</v>
      </c>
      <c r="D20" s="9" t="s">
        <v>59</v>
      </c>
      <c r="E20" s="9" t="s">
        <v>104</v>
      </c>
      <c r="F20" s="9" t="s">
        <v>249</v>
      </c>
      <c r="G20" s="9" t="s">
        <v>250</v>
      </c>
      <c r="H20" s="9">
        <v>65</v>
      </c>
      <c r="I20" s="9" t="s">
        <v>63</v>
      </c>
      <c r="J20" s="9" t="s">
        <v>64</v>
      </c>
      <c r="K20" s="9" t="s">
        <v>65</v>
      </c>
      <c r="L20" s="9" t="s">
        <v>219</v>
      </c>
      <c r="M20" s="9">
        <v>2</v>
      </c>
      <c r="N20" s="9" t="s">
        <v>251</v>
      </c>
      <c r="O20" s="9" t="s">
        <v>68</v>
      </c>
      <c r="P20" s="9" t="s">
        <v>69</v>
      </c>
      <c r="Q20" s="9" t="s">
        <v>109</v>
      </c>
      <c r="R20" s="9" t="s">
        <v>126</v>
      </c>
      <c r="S20" s="9" t="s">
        <v>72</v>
      </c>
      <c r="T20" s="9" t="s">
        <v>18</v>
      </c>
      <c r="U20" s="9" t="s">
        <v>18</v>
      </c>
      <c r="V20" s="9" t="s">
        <v>73</v>
      </c>
      <c r="W20" s="9" t="s">
        <v>110</v>
      </c>
      <c r="X20" s="9" t="s">
        <v>252</v>
      </c>
      <c r="Y20" s="9" t="s">
        <v>18</v>
      </c>
      <c r="Z20" s="9" t="s">
        <v>18</v>
      </c>
      <c r="AA20" s="9" t="s">
        <v>18</v>
      </c>
      <c r="AB20" s="9" t="s">
        <v>18</v>
      </c>
      <c r="AC20" s="9" t="s">
        <v>18</v>
      </c>
      <c r="AD20" s="9" t="s">
        <v>18</v>
      </c>
      <c r="AE20" s="9" t="s">
        <v>253</v>
      </c>
      <c r="AF20" s="9" t="s">
        <v>254</v>
      </c>
      <c r="AG20" s="9" t="s">
        <v>255</v>
      </c>
      <c r="AH20" s="9" t="s">
        <v>80</v>
      </c>
      <c r="AI20" s="9" t="s">
        <v>81</v>
      </c>
      <c r="AJ20" s="9" t="s">
        <v>45</v>
      </c>
      <c r="AK20" s="9" t="s">
        <v>45</v>
      </c>
      <c r="AL20" s="9" t="s">
        <v>45</v>
      </c>
      <c r="AM20" s="9" t="s">
        <v>82</v>
      </c>
      <c r="AN20" s="9" t="s">
        <v>45</v>
      </c>
      <c r="AO20" s="9" t="s">
        <v>18</v>
      </c>
      <c r="AP20" s="9" t="s">
        <v>82</v>
      </c>
      <c r="AQ20" s="9" t="s">
        <v>18</v>
      </c>
      <c r="AR20" s="9" t="s">
        <v>83</v>
      </c>
      <c r="AS20" s="9" t="s">
        <v>45</v>
      </c>
      <c r="AT20" s="9" t="s">
        <v>84</v>
      </c>
      <c r="AU20" s="9" t="s">
        <v>82</v>
      </c>
      <c r="AV20" s="48">
        <v>46156</v>
      </c>
      <c r="AW20" s="48">
        <v>46156</v>
      </c>
      <c r="AX20" s="9" t="s">
        <v>86</v>
      </c>
      <c r="AY20" s="9" t="s">
        <v>85</v>
      </c>
      <c r="AZ20" s="49"/>
      <c r="BA20" s="49"/>
    </row>
    <row r="21" spans="1:53" ht="15.75" customHeight="1" x14ac:dyDescent="0.25">
      <c r="A21" s="9" t="s">
        <v>56</v>
      </c>
      <c r="B21" s="9" t="s">
        <v>57</v>
      </c>
      <c r="C21" s="9" t="s">
        <v>103</v>
      </c>
      <c r="D21" s="9" t="s">
        <v>59</v>
      </c>
      <c r="E21" s="9" t="s">
        <v>60</v>
      </c>
      <c r="F21" s="9" t="s">
        <v>256</v>
      </c>
      <c r="G21" s="9" t="s">
        <v>257</v>
      </c>
      <c r="H21" s="9">
        <v>65</v>
      </c>
      <c r="I21" s="9" t="s">
        <v>63</v>
      </c>
      <c r="J21" s="9" t="s">
        <v>64</v>
      </c>
      <c r="K21" s="9" t="s">
        <v>65</v>
      </c>
      <c r="L21" s="9" t="s">
        <v>258</v>
      </c>
      <c r="M21" s="9">
        <v>1</v>
      </c>
      <c r="N21" s="9" t="s">
        <v>259</v>
      </c>
      <c r="O21" s="9" t="s">
        <v>68</v>
      </c>
      <c r="P21" s="9" t="s">
        <v>69</v>
      </c>
      <c r="Q21" s="9" t="s">
        <v>70</v>
      </c>
      <c r="R21" s="9" t="s">
        <v>71</v>
      </c>
      <c r="S21" s="9" t="s">
        <v>72</v>
      </c>
      <c r="T21" s="9" t="s">
        <v>18</v>
      </c>
      <c r="U21" s="9" t="s">
        <v>18</v>
      </c>
      <c r="V21" s="9" t="s">
        <v>73</v>
      </c>
      <c r="W21" s="9" t="s">
        <v>74</v>
      </c>
      <c r="X21" s="9" t="s">
        <v>75</v>
      </c>
      <c r="Y21" s="9" t="s">
        <v>18</v>
      </c>
      <c r="Z21" s="9" t="s">
        <v>18</v>
      </c>
      <c r="AA21" s="9" t="s">
        <v>18</v>
      </c>
      <c r="AB21" s="9" t="s">
        <v>260</v>
      </c>
      <c r="AC21" s="9" t="s">
        <v>18</v>
      </c>
      <c r="AD21" s="9" t="s">
        <v>261</v>
      </c>
      <c r="AE21" s="9" t="s">
        <v>18</v>
      </c>
      <c r="AF21" s="9" t="s">
        <v>262</v>
      </c>
      <c r="AG21" s="9" t="s">
        <v>263</v>
      </c>
      <c r="AH21" s="9" t="s">
        <v>80</v>
      </c>
      <c r="AI21" s="9" t="s">
        <v>81</v>
      </c>
      <c r="AJ21" s="9" t="s">
        <v>45</v>
      </c>
      <c r="AK21" s="9" t="s">
        <v>45</v>
      </c>
      <c r="AL21" s="9" t="s">
        <v>45</v>
      </c>
      <c r="AM21" s="9" t="s">
        <v>82</v>
      </c>
      <c r="AN21" s="9" t="s">
        <v>45</v>
      </c>
      <c r="AO21" s="9" t="s">
        <v>82</v>
      </c>
      <c r="AP21" s="9" t="s">
        <v>82</v>
      </c>
      <c r="AQ21" s="9" t="s">
        <v>18</v>
      </c>
      <c r="AR21" s="9" t="s">
        <v>83</v>
      </c>
      <c r="AS21" s="9" t="s">
        <v>45</v>
      </c>
      <c r="AT21" s="9" t="s">
        <v>84</v>
      </c>
      <c r="AU21" s="9" t="s">
        <v>82</v>
      </c>
      <c r="AV21" s="48">
        <v>46156</v>
      </c>
      <c r="AW21" s="48">
        <v>46156</v>
      </c>
      <c r="AX21" s="9"/>
      <c r="AY21" s="9" t="s">
        <v>85</v>
      </c>
      <c r="AZ21" s="49" t="s">
        <v>86</v>
      </c>
      <c r="BA21" s="49"/>
    </row>
    <row r="22" spans="1:53" ht="15.75" customHeight="1" x14ac:dyDescent="0.25">
      <c r="A22" s="9" t="s">
        <v>56</v>
      </c>
      <c r="B22" s="9" t="s">
        <v>57</v>
      </c>
      <c r="C22" s="9" t="s">
        <v>103</v>
      </c>
      <c r="D22" s="9" t="s">
        <v>59</v>
      </c>
      <c r="E22" s="9" t="s">
        <v>60</v>
      </c>
      <c r="F22" s="9" t="s">
        <v>264</v>
      </c>
      <c r="G22" s="9" t="s">
        <v>265</v>
      </c>
      <c r="H22" s="9">
        <v>65</v>
      </c>
      <c r="I22" s="9" t="s">
        <v>63</v>
      </c>
      <c r="J22" s="9" t="s">
        <v>64</v>
      </c>
      <c r="K22" s="9" t="s">
        <v>65</v>
      </c>
      <c r="L22" s="9" t="s">
        <v>219</v>
      </c>
      <c r="M22" s="9">
        <v>2</v>
      </c>
      <c r="N22" s="9" t="s">
        <v>266</v>
      </c>
      <c r="O22" s="9" t="s">
        <v>17</v>
      </c>
      <c r="P22" s="9" t="s">
        <v>267</v>
      </c>
      <c r="Q22" s="9" t="s">
        <v>70</v>
      </c>
      <c r="R22" s="9" t="s">
        <v>71</v>
      </c>
      <c r="S22" s="9" t="s">
        <v>72</v>
      </c>
      <c r="T22" s="9" t="s">
        <v>18</v>
      </c>
      <c r="U22" s="9" t="s">
        <v>18</v>
      </c>
      <c r="V22" s="9" t="s">
        <v>73</v>
      </c>
      <c r="W22" s="9" t="s">
        <v>74</v>
      </c>
      <c r="X22" s="9" t="s">
        <v>75</v>
      </c>
      <c r="Y22" s="9" t="s">
        <v>18</v>
      </c>
      <c r="Z22" s="9" t="s">
        <v>18</v>
      </c>
      <c r="AA22" s="9" t="s">
        <v>18</v>
      </c>
      <c r="AB22" s="9" t="s">
        <v>268</v>
      </c>
      <c r="AC22" s="9" t="s">
        <v>269</v>
      </c>
      <c r="AD22" s="9" t="s">
        <v>270</v>
      </c>
      <c r="AE22" s="9" t="s">
        <v>18</v>
      </c>
      <c r="AF22" s="9" t="s">
        <v>271</v>
      </c>
      <c r="AG22" s="9" t="s">
        <v>272</v>
      </c>
      <c r="AH22" s="9" t="s">
        <v>80</v>
      </c>
      <c r="AI22" s="9" t="s">
        <v>81</v>
      </c>
      <c r="AJ22" s="9" t="s">
        <v>45</v>
      </c>
      <c r="AK22" s="9" t="s">
        <v>45</v>
      </c>
      <c r="AL22" s="9" t="s">
        <v>45</v>
      </c>
      <c r="AM22" s="9" t="s">
        <v>82</v>
      </c>
      <c r="AN22" s="9" t="s">
        <v>45</v>
      </c>
      <c r="AO22" s="9" t="s">
        <v>18</v>
      </c>
      <c r="AP22" s="9" t="s">
        <v>82</v>
      </c>
      <c r="AQ22" s="9" t="s">
        <v>18</v>
      </c>
      <c r="AR22" s="9" t="s">
        <v>83</v>
      </c>
      <c r="AS22" s="9" t="s">
        <v>45</v>
      </c>
      <c r="AT22" s="9" t="s">
        <v>84</v>
      </c>
      <c r="AU22" s="9" t="s">
        <v>82</v>
      </c>
      <c r="AV22" s="48">
        <v>46156</v>
      </c>
      <c r="AW22" s="48">
        <v>46156</v>
      </c>
      <c r="AX22" s="9" t="s">
        <v>86</v>
      </c>
      <c r="AY22" s="9" t="s">
        <v>85</v>
      </c>
      <c r="AZ22" s="49"/>
      <c r="BA22" s="49"/>
    </row>
    <row r="23" spans="1:53" ht="15.75" customHeight="1" x14ac:dyDescent="0.25">
      <c r="A23" s="9" t="s">
        <v>56</v>
      </c>
      <c r="B23" s="9" t="s">
        <v>57</v>
      </c>
      <c r="C23" s="9" t="s">
        <v>103</v>
      </c>
      <c r="D23" s="9" t="s">
        <v>59</v>
      </c>
      <c r="E23" s="9" t="s">
        <v>60</v>
      </c>
      <c r="F23" s="9" t="s">
        <v>273</v>
      </c>
      <c r="G23" s="9" t="s">
        <v>274</v>
      </c>
      <c r="H23" s="9">
        <v>65</v>
      </c>
      <c r="I23" s="9" t="s">
        <v>63</v>
      </c>
      <c r="J23" s="9" t="s">
        <v>64</v>
      </c>
      <c r="K23" s="9" t="s">
        <v>65</v>
      </c>
      <c r="L23" s="9" t="s">
        <v>243</v>
      </c>
      <c r="M23" s="9">
        <v>1</v>
      </c>
      <c r="N23" s="9" t="s">
        <v>275</v>
      </c>
      <c r="O23" s="9" t="s">
        <v>68</v>
      </c>
      <c r="P23" s="9" t="s">
        <v>69</v>
      </c>
      <c r="Q23" s="9" t="s">
        <v>70</v>
      </c>
      <c r="R23" s="9" t="s">
        <v>71</v>
      </c>
      <c r="S23" s="9" t="s">
        <v>72</v>
      </c>
      <c r="T23" s="9" t="s">
        <v>18</v>
      </c>
      <c r="U23" s="9" t="s">
        <v>18</v>
      </c>
      <c r="V23" s="9" t="s">
        <v>73</v>
      </c>
      <c r="W23" s="9" t="s">
        <v>74</v>
      </c>
      <c r="X23" s="9" t="s">
        <v>75</v>
      </c>
      <c r="Y23" s="9" t="s">
        <v>18</v>
      </c>
      <c r="Z23" s="9" t="s">
        <v>18</v>
      </c>
      <c r="AA23" s="9" t="s">
        <v>18</v>
      </c>
      <c r="AB23" s="9" t="s">
        <v>276</v>
      </c>
      <c r="AC23" s="9" t="s">
        <v>253</v>
      </c>
      <c r="AD23" s="9" t="s">
        <v>18</v>
      </c>
      <c r="AE23" s="9" t="s">
        <v>18</v>
      </c>
      <c r="AF23" s="9" t="s">
        <v>277</v>
      </c>
      <c r="AG23" s="9" t="s">
        <v>278</v>
      </c>
      <c r="AH23" s="9" t="s">
        <v>80</v>
      </c>
      <c r="AI23" s="9" t="s">
        <v>81</v>
      </c>
      <c r="AJ23" s="9" t="s">
        <v>45</v>
      </c>
      <c r="AK23" s="9" t="s">
        <v>45</v>
      </c>
      <c r="AL23" s="9" t="s">
        <v>45</v>
      </c>
      <c r="AM23" s="9" t="s">
        <v>82</v>
      </c>
      <c r="AN23" s="9" t="s">
        <v>45</v>
      </c>
      <c r="AO23" s="9" t="s">
        <v>82</v>
      </c>
      <c r="AP23" s="9" t="s">
        <v>82</v>
      </c>
      <c r="AQ23" s="9" t="s">
        <v>18</v>
      </c>
      <c r="AR23" s="9" t="s">
        <v>83</v>
      </c>
      <c r="AS23" s="9" t="s">
        <v>45</v>
      </c>
      <c r="AT23" s="9" t="s">
        <v>84</v>
      </c>
      <c r="AU23" s="9" t="s">
        <v>82</v>
      </c>
      <c r="AV23" s="48">
        <v>46156</v>
      </c>
      <c r="AW23" s="48">
        <v>46156</v>
      </c>
      <c r="AX23" s="9"/>
      <c r="AY23" s="9" t="s">
        <v>85</v>
      </c>
      <c r="AZ23" s="49" t="s">
        <v>86</v>
      </c>
      <c r="BA23" s="49"/>
    </row>
    <row r="24" spans="1:53" ht="15.75" customHeight="1" x14ac:dyDescent="0.25">
      <c r="A24" s="9" t="s">
        <v>56</v>
      </c>
      <c r="B24" s="9" t="s">
        <v>57</v>
      </c>
      <c r="C24" s="9" t="s">
        <v>103</v>
      </c>
      <c r="D24" s="9" t="s">
        <v>59</v>
      </c>
      <c r="E24" s="9" t="s">
        <v>60</v>
      </c>
      <c r="F24" s="9" t="s">
        <v>279</v>
      </c>
      <c r="G24" s="9" t="s">
        <v>280</v>
      </c>
      <c r="H24" s="9">
        <v>65</v>
      </c>
      <c r="I24" s="9" t="s">
        <v>63</v>
      </c>
      <c r="J24" s="9" t="s">
        <v>64</v>
      </c>
      <c r="K24" s="9" t="s">
        <v>65</v>
      </c>
      <c r="L24" s="9" t="s">
        <v>281</v>
      </c>
      <c r="M24" s="9">
        <v>1</v>
      </c>
      <c r="N24" s="9" t="s">
        <v>282</v>
      </c>
      <c r="O24" s="9" t="s">
        <v>68</v>
      </c>
      <c r="P24" s="9" t="s">
        <v>69</v>
      </c>
      <c r="Q24" s="9" t="s">
        <v>70</v>
      </c>
      <c r="R24" s="9" t="s">
        <v>71</v>
      </c>
      <c r="S24" s="9" t="s">
        <v>72</v>
      </c>
      <c r="T24" s="9" t="s">
        <v>18</v>
      </c>
      <c r="U24" s="9" t="s">
        <v>18</v>
      </c>
      <c r="V24" s="9" t="s">
        <v>73</v>
      </c>
      <c r="W24" s="9" t="s">
        <v>74</v>
      </c>
      <c r="X24" s="9" t="s">
        <v>75</v>
      </c>
      <c r="Y24" s="9" t="s">
        <v>18</v>
      </c>
      <c r="Z24" s="9" t="s">
        <v>18</v>
      </c>
      <c r="AA24" s="9" t="s">
        <v>18</v>
      </c>
      <c r="AB24" s="9" t="s">
        <v>18</v>
      </c>
      <c r="AC24" s="9" t="s">
        <v>253</v>
      </c>
      <c r="AD24" s="9" t="s">
        <v>283</v>
      </c>
      <c r="AE24" s="9" t="s">
        <v>18</v>
      </c>
      <c r="AF24" s="9" t="s">
        <v>284</v>
      </c>
      <c r="AG24" s="9" t="s">
        <v>285</v>
      </c>
      <c r="AH24" s="9" t="s">
        <v>80</v>
      </c>
      <c r="AI24" s="9" t="s">
        <v>81</v>
      </c>
      <c r="AJ24" s="9" t="s">
        <v>45</v>
      </c>
      <c r="AK24" s="9" t="s">
        <v>45</v>
      </c>
      <c r="AL24" s="9" t="s">
        <v>45</v>
      </c>
      <c r="AM24" s="9" t="s">
        <v>82</v>
      </c>
      <c r="AN24" s="9" t="s">
        <v>45</v>
      </c>
      <c r="AO24" s="9" t="s">
        <v>18</v>
      </c>
      <c r="AP24" s="9" t="s">
        <v>82</v>
      </c>
      <c r="AQ24" s="9" t="s">
        <v>18</v>
      </c>
      <c r="AR24" s="9" t="s">
        <v>83</v>
      </c>
      <c r="AS24" s="9" t="s">
        <v>45</v>
      </c>
      <c r="AT24" s="9" t="s">
        <v>84</v>
      </c>
      <c r="AU24" s="9" t="s">
        <v>82</v>
      </c>
      <c r="AV24" s="48">
        <v>46156</v>
      </c>
      <c r="AW24" s="48">
        <v>46156</v>
      </c>
      <c r="AX24" s="9" t="s">
        <v>86</v>
      </c>
      <c r="AY24" s="9" t="s">
        <v>85</v>
      </c>
      <c r="AZ24" s="49"/>
      <c r="BA24" s="49"/>
    </row>
    <row r="25" spans="1:53" ht="15.75" customHeight="1" x14ac:dyDescent="0.25">
      <c r="A25" s="9" t="s">
        <v>56</v>
      </c>
      <c r="B25" s="9" t="s">
        <v>57</v>
      </c>
      <c r="C25" s="9" t="s">
        <v>103</v>
      </c>
      <c r="D25" s="9" t="s">
        <v>59</v>
      </c>
      <c r="E25" s="9" t="s">
        <v>60</v>
      </c>
      <c r="F25" s="9" t="s">
        <v>286</v>
      </c>
      <c r="G25" s="9" t="s">
        <v>287</v>
      </c>
      <c r="H25" s="9">
        <v>65</v>
      </c>
      <c r="I25" s="9" t="s">
        <v>63</v>
      </c>
      <c r="J25" s="9" t="s">
        <v>64</v>
      </c>
      <c r="K25" s="9" t="s">
        <v>65</v>
      </c>
      <c r="L25" s="9" t="s">
        <v>243</v>
      </c>
      <c r="M25" s="9">
        <v>1</v>
      </c>
      <c r="N25" s="9" t="s">
        <v>288</v>
      </c>
      <c r="O25" s="9" t="s">
        <v>68</v>
      </c>
      <c r="P25" s="9" t="s">
        <v>69</v>
      </c>
      <c r="Q25" s="9" t="s">
        <v>70</v>
      </c>
      <c r="R25" s="9" t="s">
        <v>71</v>
      </c>
      <c r="S25" s="9" t="s">
        <v>72</v>
      </c>
      <c r="T25" s="9" t="s">
        <v>18</v>
      </c>
      <c r="U25" s="9" t="s">
        <v>18</v>
      </c>
      <c r="V25" s="9" t="s">
        <v>73</v>
      </c>
      <c r="W25" s="9" t="s">
        <v>74</v>
      </c>
      <c r="X25" s="9" t="s">
        <v>75</v>
      </c>
      <c r="Y25" s="9" t="s">
        <v>18</v>
      </c>
      <c r="Z25" s="9" t="s">
        <v>18</v>
      </c>
      <c r="AA25" s="9" t="s">
        <v>18</v>
      </c>
      <c r="AB25" s="9" t="s">
        <v>289</v>
      </c>
      <c r="AC25" s="9" t="s">
        <v>290</v>
      </c>
      <c r="AD25" s="9" t="s">
        <v>291</v>
      </c>
      <c r="AE25" s="9" t="s">
        <v>18</v>
      </c>
      <c r="AF25" s="9" t="s">
        <v>292</v>
      </c>
      <c r="AG25" s="9" t="s">
        <v>293</v>
      </c>
      <c r="AH25" s="9" t="s">
        <v>80</v>
      </c>
      <c r="AI25" s="9" t="s">
        <v>81</v>
      </c>
      <c r="AJ25" s="9" t="s">
        <v>45</v>
      </c>
      <c r="AK25" s="9" t="s">
        <v>45</v>
      </c>
      <c r="AL25" s="9" t="s">
        <v>45</v>
      </c>
      <c r="AM25" s="9" t="s">
        <v>82</v>
      </c>
      <c r="AN25" s="9" t="s">
        <v>45</v>
      </c>
      <c r="AO25" s="9" t="s">
        <v>45</v>
      </c>
      <c r="AP25" s="9" t="s">
        <v>82</v>
      </c>
      <c r="AQ25" s="9" t="s">
        <v>18</v>
      </c>
      <c r="AR25" s="9" t="s">
        <v>83</v>
      </c>
      <c r="AS25" s="9" t="s">
        <v>45</v>
      </c>
      <c r="AT25" s="9" t="s">
        <v>84</v>
      </c>
      <c r="AU25" s="9" t="s">
        <v>82</v>
      </c>
      <c r="AV25" s="48">
        <v>46156</v>
      </c>
      <c r="AW25" s="48">
        <v>46156</v>
      </c>
      <c r="AX25" s="9"/>
      <c r="AY25" s="9" t="s">
        <v>85</v>
      </c>
      <c r="AZ25" s="49" t="s">
        <v>86</v>
      </c>
      <c r="BA25" s="49"/>
    </row>
    <row r="26" spans="1:53" ht="15.75" customHeight="1" x14ac:dyDescent="0.25">
      <c r="A26" s="9" t="s">
        <v>294</v>
      </c>
      <c r="B26" s="9" t="s">
        <v>57</v>
      </c>
      <c r="C26" s="9" t="s">
        <v>103</v>
      </c>
      <c r="D26" s="9" t="s">
        <v>59</v>
      </c>
      <c r="E26" s="9" t="s">
        <v>104</v>
      </c>
      <c r="F26" s="9" t="s">
        <v>295</v>
      </c>
      <c r="G26" s="9" t="s">
        <v>296</v>
      </c>
      <c r="H26" s="9">
        <v>65</v>
      </c>
      <c r="I26" s="9" t="s">
        <v>63</v>
      </c>
      <c r="J26" s="9" t="s">
        <v>64</v>
      </c>
      <c r="K26" s="9" t="s">
        <v>65</v>
      </c>
      <c r="L26" s="9" t="s">
        <v>219</v>
      </c>
      <c r="M26" s="9">
        <v>1</v>
      </c>
      <c r="N26" s="9" t="s">
        <v>282</v>
      </c>
      <c r="O26" s="9" t="s">
        <v>68</v>
      </c>
      <c r="P26" s="9" t="s">
        <v>69</v>
      </c>
      <c r="Q26" s="9" t="s">
        <v>109</v>
      </c>
      <c r="R26" s="9" t="s">
        <v>71</v>
      </c>
      <c r="S26" s="9" t="s">
        <v>72</v>
      </c>
      <c r="T26" s="9" t="s">
        <v>18</v>
      </c>
      <c r="U26" s="9" t="s">
        <v>18</v>
      </c>
      <c r="V26" s="9" t="s">
        <v>73</v>
      </c>
      <c r="W26" s="9" t="s">
        <v>110</v>
      </c>
      <c r="X26" s="9" t="s">
        <v>111</v>
      </c>
      <c r="Y26" s="9" t="s">
        <v>18</v>
      </c>
      <c r="Z26" s="9" t="s">
        <v>18</v>
      </c>
      <c r="AA26" s="9" t="s">
        <v>18</v>
      </c>
      <c r="AB26" s="9" t="s">
        <v>18</v>
      </c>
      <c r="AC26" s="9" t="s">
        <v>253</v>
      </c>
      <c r="AD26" s="9" t="s">
        <v>18</v>
      </c>
      <c r="AE26" s="9" t="s">
        <v>297</v>
      </c>
      <c r="AF26" s="9" t="s">
        <v>298</v>
      </c>
      <c r="AG26" s="9" t="s">
        <v>299</v>
      </c>
      <c r="AH26" s="9" t="s">
        <v>80</v>
      </c>
      <c r="AI26" s="9" t="s">
        <v>81</v>
      </c>
      <c r="AJ26" s="9" t="s">
        <v>45</v>
      </c>
      <c r="AK26" s="9" t="s">
        <v>45</v>
      </c>
      <c r="AL26" s="9" t="s">
        <v>45</v>
      </c>
      <c r="AM26" s="9" t="s">
        <v>82</v>
      </c>
      <c r="AN26" s="9" t="s">
        <v>45</v>
      </c>
      <c r="AO26" s="9" t="s">
        <v>18</v>
      </c>
      <c r="AP26" s="9" t="s">
        <v>82</v>
      </c>
      <c r="AQ26" s="9" t="s">
        <v>18</v>
      </c>
      <c r="AR26" s="9" t="s">
        <v>83</v>
      </c>
      <c r="AS26" s="9" t="s">
        <v>45</v>
      </c>
      <c r="AT26" s="9" t="s">
        <v>84</v>
      </c>
      <c r="AU26" s="9" t="s">
        <v>82</v>
      </c>
      <c r="AV26" s="48">
        <v>46156</v>
      </c>
      <c r="AW26" s="48">
        <v>46156</v>
      </c>
      <c r="AX26" s="9" t="s">
        <v>86</v>
      </c>
      <c r="AY26" s="9" t="s">
        <v>85</v>
      </c>
      <c r="AZ26" s="49"/>
      <c r="BA26" s="49"/>
    </row>
    <row r="27" spans="1:53" ht="15.75" customHeight="1" x14ac:dyDescent="0.25">
      <c r="A27" s="9" t="s">
        <v>56</v>
      </c>
      <c r="B27" s="9" t="s">
        <v>57</v>
      </c>
      <c r="C27" s="9" t="s">
        <v>103</v>
      </c>
      <c r="D27" s="9" t="s">
        <v>59</v>
      </c>
      <c r="E27" s="9" t="s">
        <v>60</v>
      </c>
      <c r="F27" s="9" t="s">
        <v>300</v>
      </c>
      <c r="G27" s="9" t="s">
        <v>301</v>
      </c>
      <c r="H27" s="9">
        <v>65</v>
      </c>
      <c r="I27" s="9" t="s">
        <v>63</v>
      </c>
      <c r="J27" s="9" t="s">
        <v>64</v>
      </c>
      <c r="K27" s="9" t="s">
        <v>65</v>
      </c>
      <c r="L27" s="9" t="s">
        <v>243</v>
      </c>
      <c r="M27" s="9">
        <v>1</v>
      </c>
      <c r="N27" s="9" t="s">
        <v>302</v>
      </c>
      <c r="O27" s="9" t="s">
        <v>68</v>
      </c>
      <c r="P27" s="9" t="s">
        <v>69</v>
      </c>
      <c r="Q27" s="9" t="s">
        <v>70</v>
      </c>
      <c r="R27" s="9" t="s">
        <v>71</v>
      </c>
      <c r="S27" s="9" t="s">
        <v>72</v>
      </c>
      <c r="T27" s="9" t="s">
        <v>18</v>
      </c>
      <c r="U27" s="9" t="s">
        <v>18</v>
      </c>
      <c r="V27" s="9" t="s">
        <v>73</v>
      </c>
      <c r="W27" s="9" t="s">
        <v>110</v>
      </c>
      <c r="X27" s="9" t="s">
        <v>75</v>
      </c>
      <c r="Y27" s="9" t="s">
        <v>18</v>
      </c>
      <c r="Z27" s="9" t="s">
        <v>18</v>
      </c>
      <c r="AA27" s="9" t="s">
        <v>18</v>
      </c>
      <c r="AB27" s="9" t="s">
        <v>303</v>
      </c>
      <c r="AC27" s="9" t="s">
        <v>304</v>
      </c>
      <c r="AD27" s="9" t="s">
        <v>305</v>
      </c>
      <c r="AE27" s="9" t="s">
        <v>18</v>
      </c>
      <c r="AF27" s="9" t="s">
        <v>306</v>
      </c>
      <c r="AG27" s="9" t="s">
        <v>307</v>
      </c>
      <c r="AH27" s="9" t="s">
        <v>80</v>
      </c>
      <c r="AI27" s="9" t="s">
        <v>81</v>
      </c>
      <c r="AJ27" s="9" t="s">
        <v>45</v>
      </c>
      <c r="AK27" s="9" t="s">
        <v>45</v>
      </c>
      <c r="AL27" s="9" t="s">
        <v>45</v>
      </c>
      <c r="AM27" s="9" t="s">
        <v>82</v>
      </c>
      <c r="AN27" s="9" t="s">
        <v>45</v>
      </c>
      <c r="AO27" s="9" t="s">
        <v>82</v>
      </c>
      <c r="AP27" s="9" t="s">
        <v>82</v>
      </c>
      <c r="AQ27" s="9" t="s">
        <v>18</v>
      </c>
      <c r="AR27" s="9" t="s">
        <v>83</v>
      </c>
      <c r="AS27" s="9" t="s">
        <v>82</v>
      </c>
      <c r="AT27" s="9" t="s">
        <v>84</v>
      </c>
      <c r="AU27" s="9" t="s">
        <v>82</v>
      </c>
      <c r="AV27" s="48">
        <v>46156</v>
      </c>
      <c r="AW27" s="48">
        <v>46156</v>
      </c>
      <c r="AX27" s="9"/>
      <c r="AY27" s="9" t="s">
        <v>85</v>
      </c>
      <c r="AZ27" s="49" t="s">
        <v>86</v>
      </c>
      <c r="BA27" s="49"/>
    </row>
    <row r="28" spans="1:53" ht="15.75" customHeight="1" x14ac:dyDescent="0.2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39"/>
      <c r="AW28" s="39"/>
      <c r="AX28" s="26"/>
      <c r="AY28" s="26"/>
      <c r="AZ28" s="45"/>
      <c r="BA28" s="45"/>
    </row>
    <row r="29" spans="1:53" ht="15.75" customHeight="1" x14ac:dyDescent="0.2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39"/>
      <c r="AW29" s="39"/>
      <c r="AX29" s="26"/>
      <c r="AY29" s="26"/>
      <c r="AZ29" s="40"/>
      <c r="BA29" s="40"/>
    </row>
    <row r="30" spans="1:53" ht="15.75" customHeight="1" x14ac:dyDescent="0.2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39"/>
      <c r="AW30" s="39"/>
      <c r="AX30" s="26"/>
      <c r="AY30" s="26"/>
      <c r="AZ30" s="45"/>
      <c r="BA30" s="45"/>
    </row>
    <row r="31" spans="1:53" ht="15.75" customHeight="1" x14ac:dyDescent="0.2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39"/>
      <c r="AW31" s="39"/>
      <c r="AX31" s="26"/>
      <c r="AY31" s="26"/>
      <c r="AZ31" s="40"/>
      <c r="BA31" s="40"/>
    </row>
    <row r="32" spans="1:53" ht="15.75" customHeight="1" x14ac:dyDescent="0.2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39"/>
      <c r="AW32" s="39"/>
      <c r="AX32" s="26"/>
      <c r="AY32" s="26"/>
      <c r="AZ32" s="45"/>
      <c r="BA32" s="45"/>
    </row>
    <row r="33" spans="1:53" ht="15.75" customHeight="1" x14ac:dyDescent="0.25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39"/>
      <c r="AW33" s="39"/>
      <c r="AX33" s="26"/>
      <c r="AY33" s="26"/>
      <c r="AZ33" s="40"/>
      <c r="BA33" s="40"/>
    </row>
    <row r="34" spans="1:53" ht="15.75" customHeight="1" x14ac:dyDescent="0.2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39"/>
      <c r="AW34" s="39"/>
      <c r="AX34" s="26"/>
      <c r="AY34" s="26"/>
      <c r="AZ34" s="45"/>
      <c r="BA34" s="45"/>
    </row>
    <row r="35" spans="1:53" ht="15.75" customHeight="1" x14ac:dyDescent="0.2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39"/>
      <c r="AW35" s="39"/>
      <c r="AX35" s="26"/>
      <c r="AY35" s="26"/>
      <c r="AZ35" s="40"/>
      <c r="BA35" s="40"/>
    </row>
    <row r="36" spans="1:53" ht="15.75" customHeight="1" x14ac:dyDescent="0.2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39"/>
      <c r="AW36" s="39"/>
      <c r="AX36" s="26"/>
      <c r="AY36" s="26"/>
      <c r="AZ36" s="45"/>
      <c r="BA36" s="45"/>
    </row>
    <row r="37" spans="1:53" ht="15.75" customHeight="1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39"/>
      <c r="AW37" s="39"/>
      <c r="AX37" s="26"/>
      <c r="AY37" s="26"/>
      <c r="AZ37" s="40"/>
      <c r="BA37" s="40"/>
    </row>
    <row r="38" spans="1:53" ht="15.75" customHeight="1" x14ac:dyDescent="0.25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39"/>
      <c r="AW38" s="39"/>
      <c r="AX38" s="26"/>
      <c r="AY38" s="26"/>
      <c r="AZ38" s="45"/>
      <c r="BA38" s="45"/>
    </row>
    <row r="39" spans="1:53" ht="15.75" customHeight="1" x14ac:dyDescent="0.25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39"/>
      <c r="AW39" s="39"/>
      <c r="AX39" s="26"/>
      <c r="AY39" s="26"/>
      <c r="AZ39" s="40"/>
      <c r="BA39" s="40"/>
    </row>
    <row r="40" spans="1:53" ht="15.75" customHeight="1" x14ac:dyDescent="0.25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39"/>
      <c r="AW40" s="39"/>
      <c r="AX40" s="26"/>
      <c r="AY40" s="26"/>
      <c r="AZ40" s="45"/>
      <c r="BA40" s="45"/>
    </row>
    <row r="41" spans="1:53" ht="15.75" customHeight="1" x14ac:dyDescent="0.2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39"/>
      <c r="AW41" s="39"/>
      <c r="AX41" s="26"/>
      <c r="AY41" s="26"/>
      <c r="AZ41" s="40"/>
      <c r="BA41" s="40"/>
    </row>
    <row r="42" spans="1:53" ht="15.75" customHeight="1" x14ac:dyDescent="0.25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39"/>
      <c r="AW42" s="39"/>
      <c r="AX42" s="26"/>
      <c r="AY42" s="26"/>
      <c r="AZ42" s="45"/>
      <c r="BA42" s="45"/>
    </row>
    <row r="43" spans="1:53" ht="15.75" customHeight="1" x14ac:dyDescent="0.25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39"/>
      <c r="AW43" s="39"/>
      <c r="AX43" s="26"/>
      <c r="AY43" s="26"/>
      <c r="AZ43" s="40"/>
      <c r="BA43" s="40"/>
    </row>
    <row r="44" spans="1:53" ht="15.75" customHeight="1" x14ac:dyDescent="0.2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39"/>
      <c r="AW44" s="39"/>
      <c r="AX44" s="26"/>
      <c r="AY44" s="26"/>
      <c r="AZ44" s="45"/>
      <c r="BA44" s="45"/>
    </row>
    <row r="45" spans="1:53" ht="15.75" customHeight="1" x14ac:dyDescent="0.2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39"/>
      <c r="AW45" s="39"/>
      <c r="AX45" s="26"/>
      <c r="AY45" s="26"/>
      <c r="AZ45" s="40"/>
      <c r="BA45" s="40"/>
    </row>
    <row r="46" spans="1:53" ht="15.75" customHeight="1" x14ac:dyDescent="0.2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39"/>
      <c r="AW46" s="39"/>
      <c r="AX46" s="26"/>
      <c r="AY46" s="26"/>
      <c r="AZ46" s="45"/>
      <c r="BA46" s="45"/>
    </row>
    <row r="47" spans="1:53" ht="15.75" customHeight="1" x14ac:dyDescent="0.2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39"/>
      <c r="AW47" s="39"/>
      <c r="AX47" s="26"/>
      <c r="AY47" s="26"/>
      <c r="AZ47" s="40"/>
      <c r="BA47" s="40"/>
    </row>
    <row r="48" spans="1:53" ht="15.75" customHeight="1" x14ac:dyDescent="0.2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39"/>
      <c r="AW48" s="39"/>
      <c r="AX48" s="26"/>
      <c r="AY48" s="26"/>
      <c r="AZ48" s="45"/>
      <c r="BA48" s="45"/>
    </row>
    <row r="49" spans="1:53" ht="15.75" customHeight="1" x14ac:dyDescent="0.2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39"/>
      <c r="AW49" s="39"/>
      <c r="AX49" s="26"/>
      <c r="AY49" s="26"/>
      <c r="AZ49" s="40"/>
      <c r="BA49" s="40"/>
    </row>
    <row r="50" spans="1:53" ht="15.75" customHeight="1" x14ac:dyDescent="0.2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39"/>
      <c r="AW50" s="39"/>
      <c r="AX50" s="26"/>
      <c r="AY50" s="26"/>
      <c r="AZ50" s="45"/>
      <c r="BA50" s="45"/>
    </row>
    <row r="51" spans="1:53" ht="15.75" customHeight="1" x14ac:dyDescent="0.2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39"/>
      <c r="AW51" s="39"/>
      <c r="AX51" s="26"/>
      <c r="AY51" s="26"/>
      <c r="AZ51" s="40"/>
      <c r="BA51" s="40"/>
    </row>
    <row r="52" spans="1:53" ht="15.75" customHeight="1" x14ac:dyDescent="0.2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39"/>
      <c r="AW52" s="39"/>
      <c r="AX52" s="26"/>
      <c r="AY52" s="26"/>
      <c r="AZ52" s="45"/>
      <c r="BA52" s="45"/>
    </row>
    <row r="53" spans="1:53" ht="15.75" customHeight="1" x14ac:dyDescent="0.2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39"/>
      <c r="AW53" s="39"/>
      <c r="AX53" s="26"/>
      <c r="AY53" s="26"/>
      <c r="AZ53" s="40"/>
      <c r="BA53" s="40"/>
    </row>
    <row r="54" spans="1:53" ht="15.75" customHeight="1" x14ac:dyDescent="0.2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39"/>
      <c r="AW54" s="39"/>
      <c r="AX54" s="26"/>
      <c r="AY54" s="26"/>
      <c r="AZ54" s="45"/>
      <c r="BA54" s="45"/>
    </row>
    <row r="55" spans="1:53" ht="15.75" customHeight="1" x14ac:dyDescent="0.2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39"/>
      <c r="AW55" s="39"/>
      <c r="AX55" s="26"/>
      <c r="AY55" s="26"/>
      <c r="AZ55" s="40"/>
      <c r="BA55" s="40"/>
    </row>
    <row r="56" spans="1:53" ht="15.75" customHeight="1" x14ac:dyDescent="0.2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39"/>
      <c r="AW56" s="39"/>
      <c r="AX56" s="26"/>
      <c r="AY56" s="26"/>
      <c r="AZ56" s="45"/>
      <c r="BA56" s="45"/>
    </row>
    <row r="57" spans="1:53" ht="15.75" customHeight="1" x14ac:dyDescent="0.2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39"/>
      <c r="AW57" s="39"/>
      <c r="AX57" s="26"/>
      <c r="AY57" s="26"/>
      <c r="AZ57" s="40"/>
      <c r="BA57" s="40"/>
    </row>
    <row r="58" spans="1:53" ht="15.75" customHeight="1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39"/>
      <c r="AW58" s="39"/>
      <c r="AX58" s="26"/>
      <c r="AY58" s="26"/>
      <c r="AZ58" s="45"/>
      <c r="BA58" s="45"/>
    </row>
    <row r="59" spans="1:53" ht="15.75" customHeight="1" x14ac:dyDescent="0.2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39"/>
      <c r="AW59" s="39"/>
      <c r="AX59" s="26"/>
      <c r="AY59" s="26"/>
      <c r="AZ59" s="40"/>
      <c r="BA59" s="40"/>
    </row>
    <row r="60" spans="1:53" ht="15.75" customHeight="1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39"/>
      <c r="AW60" s="39"/>
      <c r="AX60" s="26"/>
      <c r="AY60" s="26"/>
      <c r="AZ60" s="45"/>
      <c r="BA60" s="45"/>
    </row>
    <row r="61" spans="1:53" ht="15.75" customHeight="1" x14ac:dyDescent="0.2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39"/>
      <c r="AW61" s="39"/>
      <c r="AX61" s="26"/>
      <c r="AY61" s="26"/>
      <c r="AZ61" s="40"/>
      <c r="BA61" s="40"/>
    </row>
    <row r="62" spans="1:53" ht="15.75" customHeight="1" x14ac:dyDescent="0.2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39"/>
      <c r="AW62" s="39"/>
      <c r="AX62" s="26"/>
      <c r="AY62" s="26"/>
      <c r="AZ62" s="45"/>
      <c r="BA62" s="45"/>
    </row>
    <row r="63" spans="1:53" ht="15.75" customHeight="1" x14ac:dyDescent="0.2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39"/>
      <c r="AW63" s="39"/>
      <c r="AX63" s="26"/>
      <c r="AY63" s="26"/>
      <c r="AZ63" s="40"/>
      <c r="BA63" s="40"/>
    </row>
    <row r="64" spans="1:53" ht="15.75" customHeight="1" x14ac:dyDescent="0.2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39"/>
      <c r="AW64" s="39"/>
      <c r="AX64" s="26"/>
      <c r="AY64" s="26"/>
      <c r="AZ64" s="45"/>
      <c r="BA64" s="45"/>
    </row>
    <row r="65" spans="1:53" ht="15.75" customHeight="1" x14ac:dyDescent="0.2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39"/>
      <c r="AW65" s="39"/>
      <c r="AX65" s="26"/>
      <c r="AY65" s="26"/>
      <c r="AZ65" s="40"/>
      <c r="BA65" s="40"/>
    </row>
    <row r="66" spans="1:53" ht="15.75" customHeight="1" x14ac:dyDescent="0.2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39"/>
      <c r="AW66" s="39"/>
      <c r="AX66" s="26"/>
      <c r="AY66" s="26"/>
      <c r="AZ66" s="45"/>
      <c r="BA66" s="45"/>
    </row>
    <row r="67" spans="1:53" ht="15.75" customHeight="1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39"/>
      <c r="AW67" s="39"/>
      <c r="AX67" s="26"/>
      <c r="AY67" s="26"/>
      <c r="AZ67" s="40"/>
      <c r="BA67" s="40"/>
    </row>
    <row r="68" spans="1:53" ht="15.75" customHeight="1" x14ac:dyDescent="0.25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39"/>
      <c r="AW68" s="39"/>
      <c r="AX68" s="26"/>
      <c r="AY68" s="26"/>
      <c r="AZ68" s="45"/>
      <c r="BA68" s="45"/>
    </row>
    <row r="69" spans="1:53" ht="15.75" customHeight="1" x14ac:dyDescent="0.25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39"/>
      <c r="AW69" s="39"/>
      <c r="AX69" s="26"/>
      <c r="AY69" s="26"/>
      <c r="AZ69" s="40"/>
      <c r="BA69" s="40"/>
    </row>
    <row r="70" spans="1:53" ht="15.75" customHeight="1" x14ac:dyDescent="0.2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39"/>
      <c r="AW70" s="39"/>
      <c r="AX70" s="26"/>
      <c r="AY70" s="26"/>
      <c r="AZ70" s="45"/>
      <c r="BA70" s="45"/>
    </row>
    <row r="71" spans="1:53" ht="15.75" customHeight="1" x14ac:dyDescent="0.25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39"/>
      <c r="AW71" s="39"/>
      <c r="AX71" s="26"/>
      <c r="AY71" s="26"/>
      <c r="AZ71" s="40"/>
      <c r="BA71" s="40"/>
    </row>
    <row r="72" spans="1:53" ht="15.75" customHeight="1" x14ac:dyDescent="0.2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39"/>
      <c r="AW72" s="39"/>
      <c r="AX72" s="26"/>
      <c r="AY72" s="26"/>
      <c r="AZ72" s="45"/>
      <c r="BA72" s="45"/>
    </row>
    <row r="73" spans="1:53" ht="15.75" customHeight="1" x14ac:dyDescent="0.2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39"/>
      <c r="AW73" s="39"/>
      <c r="AX73" s="26"/>
      <c r="AY73" s="26"/>
      <c r="AZ73" s="40"/>
      <c r="BA73" s="40"/>
    </row>
    <row r="74" spans="1:53" ht="15.75" customHeight="1" x14ac:dyDescent="0.2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39"/>
      <c r="AW74" s="39"/>
      <c r="AX74" s="26"/>
      <c r="AY74" s="26"/>
      <c r="AZ74" s="45"/>
      <c r="BA74" s="45"/>
    </row>
    <row r="75" spans="1:53" ht="15.75" customHeight="1" x14ac:dyDescent="0.2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39"/>
      <c r="AW75" s="39"/>
      <c r="AX75" s="26"/>
      <c r="AY75" s="26"/>
      <c r="AZ75" s="40"/>
      <c r="BA75" s="40"/>
    </row>
    <row r="76" spans="1:53" ht="15.75" customHeight="1" x14ac:dyDescent="0.25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39"/>
      <c r="AW76" s="39"/>
      <c r="AX76" s="26"/>
      <c r="AY76" s="26"/>
      <c r="AZ76" s="45"/>
      <c r="BA76" s="45"/>
    </row>
    <row r="77" spans="1:53" ht="15.75" customHeight="1" x14ac:dyDescent="0.25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39"/>
      <c r="AW77" s="39"/>
      <c r="AX77" s="26"/>
      <c r="AY77" s="26"/>
      <c r="AZ77" s="40"/>
      <c r="BA77" s="40"/>
    </row>
    <row r="78" spans="1:53" ht="15.75" customHeight="1" x14ac:dyDescent="0.25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39"/>
      <c r="AW78" s="39"/>
      <c r="AX78" s="26"/>
      <c r="AY78" s="26"/>
      <c r="AZ78" s="45"/>
      <c r="BA78" s="45"/>
    </row>
    <row r="79" spans="1:53" ht="15.75" customHeight="1" x14ac:dyDescent="0.25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39"/>
      <c r="AW79" s="39"/>
      <c r="AX79" s="26"/>
      <c r="AY79" s="26"/>
      <c r="AZ79" s="40"/>
      <c r="BA79" s="40"/>
    </row>
    <row r="80" spans="1:53" ht="15.75" customHeight="1" x14ac:dyDescent="0.25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39"/>
      <c r="AW80" s="39"/>
      <c r="AX80" s="26"/>
      <c r="AY80" s="26"/>
      <c r="AZ80" s="45"/>
      <c r="BA80" s="45"/>
    </row>
    <row r="81" spans="1:53" ht="15.75" customHeight="1" x14ac:dyDescent="0.25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39"/>
      <c r="AW81" s="39"/>
      <c r="AX81" s="26"/>
      <c r="AY81" s="26"/>
      <c r="AZ81" s="40"/>
      <c r="BA81" s="40"/>
    </row>
    <row r="82" spans="1:53" ht="15.75" customHeight="1" x14ac:dyDescent="0.25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39"/>
      <c r="AW82" s="39"/>
      <c r="AX82" s="26"/>
      <c r="AY82" s="26"/>
      <c r="AZ82" s="45"/>
      <c r="BA82" s="45"/>
    </row>
    <row r="83" spans="1:53" ht="15.75" customHeight="1" x14ac:dyDescent="0.25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39"/>
      <c r="AW83" s="39"/>
      <c r="AX83" s="26"/>
      <c r="AY83" s="26"/>
      <c r="AZ83" s="40"/>
      <c r="BA83" s="40"/>
    </row>
    <row r="84" spans="1:53" ht="15.75" customHeight="1" x14ac:dyDescent="0.25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39"/>
      <c r="AW84" s="39"/>
      <c r="AX84" s="26"/>
      <c r="AY84" s="26"/>
      <c r="AZ84" s="45"/>
      <c r="BA84" s="45"/>
    </row>
    <row r="85" spans="1:53" ht="15.75" customHeight="1" x14ac:dyDescent="0.2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39"/>
      <c r="AW85" s="39"/>
      <c r="AX85" s="26"/>
      <c r="AY85" s="26"/>
      <c r="AZ85" s="40"/>
      <c r="BA85" s="40"/>
    </row>
    <row r="86" spans="1:53" ht="15.75" customHeight="1" x14ac:dyDescent="0.25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39"/>
      <c r="AW86" s="39"/>
      <c r="AX86" s="26"/>
      <c r="AY86" s="26"/>
      <c r="AZ86" s="45"/>
      <c r="BA86" s="45"/>
    </row>
    <row r="87" spans="1:53" ht="15.75" customHeight="1" x14ac:dyDescent="0.25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39"/>
      <c r="AW87" s="39"/>
      <c r="AX87" s="26"/>
      <c r="AY87" s="26"/>
      <c r="AZ87" s="40"/>
      <c r="BA87" s="40"/>
    </row>
    <row r="88" spans="1:53" ht="15.75" customHeight="1" x14ac:dyDescent="0.25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39"/>
      <c r="AW88" s="39"/>
      <c r="AX88" s="26"/>
      <c r="AY88" s="26"/>
      <c r="AZ88" s="45"/>
      <c r="BA88" s="45"/>
    </row>
    <row r="89" spans="1:53" ht="15.75" customHeight="1" x14ac:dyDescent="0.25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39"/>
      <c r="AW89" s="39"/>
      <c r="AX89" s="26"/>
      <c r="AY89" s="26"/>
      <c r="AZ89" s="40"/>
      <c r="BA89" s="40"/>
    </row>
    <row r="90" spans="1:53" ht="15.75" customHeight="1" x14ac:dyDescent="0.25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39"/>
      <c r="AW90" s="39"/>
      <c r="AX90" s="26"/>
      <c r="AY90" s="26"/>
      <c r="AZ90" s="45"/>
      <c r="BA90" s="45"/>
    </row>
    <row r="91" spans="1:53" ht="15.75" customHeight="1" x14ac:dyDescent="0.25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39"/>
      <c r="AW91" s="39"/>
      <c r="AX91" s="26"/>
      <c r="AY91" s="26"/>
      <c r="AZ91" s="40"/>
      <c r="BA91" s="40"/>
    </row>
    <row r="92" spans="1:53" ht="15.75" customHeight="1" x14ac:dyDescent="0.25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39"/>
      <c r="AW92" s="39"/>
      <c r="AX92" s="26"/>
      <c r="AY92" s="26"/>
      <c r="AZ92" s="45"/>
      <c r="BA92" s="45"/>
    </row>
    <row r="93" spans="1:53" ht="15.75" customHeight="1" x14ac:dyDescent="0.25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39"/>
      <c r="AW93" s="39"/>
      <c r="AX93" s="26"/>
      <c r="AY93" s="26"/>
      <c r="AZ93" s="40"/>
      <c r="BA93" s="40"/>
    </row>
    <row r="94" spans="1:53" ht="15.75" customHeight="1" x14ac:dyDescent="0.25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39"/>
      <c r="AW94" s="39"/>
      <c r="AX94" s="26"/>
      <c r="AY94" s="26"/>
      <c r="AZ94" s="45"/>
      <c r="BA94" s="45"/>
    </row>
    <row r="95" spans="1:53" ht="15.75" customHeight="1" x14ac:dyDescent="0.2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39"/>
      <c r="AW95" s="39"/>
      <c r="AX95" s="26"/>
      <c r="AY95" s="26"/>
      <c r="AZ95" s="40"/>
      <c r="BA95" s="40"/>
    </row>
    <row r="96" spans="1:53" ht="15.75" customHeight="1" x14ac:dyDescent="0.25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39"/>
      <c r="AW96" s="39"/>
      <c r="AX96" s="26"/>
      <c r="AY96" s="26"/>
      <c r="AZ96" s="45"/>
      <c r="BA96" s="45"/>
    </row>
    <row r="97" spans="1:53" ht="15.75" customHeight="1" x14ac:dyDescent="0.25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39"/>
      <c r="AW97" s="39"/>
      <c r="AX97" s="26"/>
      <c r="AY97" s="26"/>
      <c r="AZ97" s="40"/>
      <c r="BA97" s="40"/>
    </row>
    <row r="98" spans="1:53" ht="15.75" customHeight="1" x14ac:dyDescent="0.25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39"/>
      <c r="AW98" s="39"/>
      <c r="AX98" s="26"/>
      <c r="AY98" s="26"/>
      <c r="AZ98" s="45"/>
      <c r="BA98" s="45"/>
    </row>
    <row r="99" spans="1:53" ht="15.75" customHeight="1" x14ac:dyDescent="0.25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39"/>
      <c r="AW99" s="39"/>
      <c r="AX99" s="26"/>
      <c r="AY99" s="26"/>
      <c r="AZ99" s="40"/>
      <c r="BA99" s="40"/>
    </row>
    <row r="100" spans="1:53" ht="15.75" customHeight="1" x14ac:dyDescent="0.25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39"/>
      <c r="AW100" s="39"/>
      <c r="AX100" s="26"/>
      <c r="AY100" s="26"/>
      <c r="AZ100" s="45"/>
      <c r="BA100" s="45"/>
    </row>
    <row r="101" spans="1:53" ht="15.75" customHeight="1" x14ac:dyDescent="0.25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39"/>
      <c r="AW101" s="39"/>
      <c r="AX101" s="26"/>
      <c r="AY101" s="26"/>
      <c r="AZ101" s="40"/>
      <c r="BA101" s="40"/>
    </row>
    <row r="102" spans="1:53" ht="15.75" customHeight="1" x14ac:dyDescent="0.25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39"/>
      <c r="AW102" s="39"/>
      <c r="AX102" s="26"/>
      <c r="AY102" s="26"/>
      <c r="AZ102" s="45"/>
      <c r="BA102" s="45"/>
    </row>
    <row r="103" spans="1:53" ht="15.75" customHeight="1" x14ac:dyDescent="0.25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39"/>
      <c r="AW103" s="39"/>
      <c r="AX103" s="26"/>
      <c r="AY103" s="26"/>
      <c r="AZ103" s="40"/>
      <c r="BA103" s="40"/>
    </row>
    <row r="104" spans="1:53" ht="15.75" customHeight="1" x14ac:dyDescent="0.25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39"/>
      <c r="AW104" s="39"/>
      <c r="AX104" s="26"/>
      <c r="AY104" s="26"/>
      <c r="AZ104" s="45"/>
      <c r="BA104" s="45"/>
    </row>
    <row r="105" spans="1:53" ht="15.75" customHeight="1" x14ac:dyDescent="0.2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39"/>
      <c r="AW105" s="39"/>
      <c r="AX105" s="26"/>
      <c r="AY105" s="26"/>
      <c r="AZ105" s="40"/>
      <c r="BA105" s="40"/>
    </row>
    <row r="106" spans="1:53" ht="15.75" customHeight="1" x14ac:dyDescent="0.25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39"/>
      <c r="AW106" s="39"/>
      <c r="AX106" s="26"/>
      <c r="AY106" s="26"/>
      <c r="AZ106" s="45"/>
      <c r="BA106" s="45"/>
    </row>
    <row r="107" spans="1:53" ht="15.75" customHeight="1" x14ac:dyDescent="0.2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39"/>
      <c r="AW107" s="39"/>
      <c r="AX107" s="26"/>
      <c r="AY107" s="26"/>
      <c r="AZ107" s="40"/>
      <c r="BA107" s="40"/>
    </row>
    <row r="108" spans="1:53" ht="15.75" customHeight="1" x14ac:dyDescent="0.2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39"/>
      <c r="AW108" s="39"/>
      <c r="AX108" s="26"/>
      <c r="AY108" s="26"/>
      <c r="AZ108" s="45"/>
      <c r="BA108" s="45"/>
    </row>
    <row r="109" spans="1:53" ht="15.75" customHeight="1" x14ac:dyDescent="0.2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39"/>
      <c r="AW109" s="39"/>
      <c r="AX109" s="26"/>
      <c r="AY109" s="26"/>
      <c r="AZ109" s="40"/>
      <c r="BA109" s="40"/>
    </row>
    <row r="110" spans="1:53" ht="15.75" customHeight="1" x14ac:dyDescent="0.2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39"/>
      <c r="AW110" s="39"/>
      <c r="AX110" s="26"/>
      <c r="AY110" s="26"/>
      <c r="AZ110" s="45"/>
      <c r="BA110" s="45"/>
    </row>
    <row r="111" spans="1:53" ht="15.75" customHeight="1" x14ac:dyDescent="0.2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39"/>
      <c r="AW111" s="39"/>
      <c r="AX111" s="26"/>
      <c r="AY111" s="26"/>
      <c r="AZ111" s="40"/>
      <c r="BA111" s="40"/>
    </row>
    <row r="112" spans="1:53" ht="15.75" customHeight="1" x14ac:dyDescent="0.2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39"/>
      <c r="AW112" s="39"/>
      <c r="AX112" s="26"/>
      <c r="AY112" s="26"/>
      <c r="AZ112" s="45"/>
      <c r="BA112" s="45"/>
    </row>
    <row r="113" spans="1:53" ht="15.75" customHeight="1" x14ac:dyDescent="0.25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39"/>
      <c r="AW113" s="39"/>
      <c r="AX113" s="26"/>
      <c r="AY113" s="26"/>
      <c r="AZ113" s="40"/>
      <c r="BA113" s="40"/>
    </row>
    <row r="114" spans="1:53" ht="15.75" customHeight="1" x14ac:dyDescent="0.2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39"/>
      <c r="AW114" s="39"/>
      <c r="AX114" s="26"/>
      <c r="AY114" s="26"/>
      <c r="AZ114" s="45"/>
      <c r="BA114" s="45"/>
    </row>
    <row r="115" spans="1:53" ht="15.75" customHeight="1" x14ac:dyDescent="0.2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39"/>
      <c r="AW115" s="39"/>
      <c r="AX115" s="26"/>
      <c r="AY115" s="26"/>
      <c r="AZ115" s="40"/>
      <c r="BA115" s="40"/>
    </row>
    <row r="116" spans="1:53" ht="15.75" customHeight="1" x14ac:dyDescent="0.2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39"/>
      <c r="AW116" s="39"/>
      <c r="AX116" s="26"/>
      <c r="AY116" s="26"/>
      <c r="AZ116" s="45"/>
      <c r="BA116" s="45"/>
    </row>
    <row r="117" spans="1:53" ht="15.75" customHeight="1" x14ac:dyDescent="0.2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39"/>
      <c r="AW117" s="39"/>
      <c r="AX117" s="26"/>
      <c r="AY117" s="26"/>
      <c r="AZ117" s="40"/>
      <c r="BA117" s="40"/>
    </row>
    <row r="118" spans="1:53" ht="15.75" customHeight="1" x14ac:dyDescent="0.2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39"/>
      <c r="AW118" s="39"/>
      <c r="AX118" s="26"/>
      <c r="AY118" s="26"/>
      <c r="AZ118" s="45"/>
      <c r="BA118" s="45"/>
    </row>
    <row r="119" spans="1:53" ht="15.75" customHeight="1" x14ac:dyDescent="0.2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39"/>
      <c r="AW119" s="39"/>
      <c r="AX119" s="26"/>
      <c r="AY119" s="26"/>
      <c r="AZ119" s="40"/>
      <c r="BA119" s="40"/>
    </row>
    <row r="120" spans="1:53" ht="15.75" customHeight="1" x14ac:dyDescent="0.2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39"/>
      <c r="AW120" s="39"/>
      <c r="AX120" s="26"/>
      <c r="AY120" s="26"/>
      <c r="AZ120" s="45"/>
      <c r="BA120" s="45"/>
    </row>
    <row r="121" spans="1:53" ht="15.75" customHeight="1" x14ac:dyDescent="0.2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39"/>
      <c r="AW121" s="39"/>
      <c r="AX121" s="26"/>
      <c r="AY121" s="26"/>
      <c r="AZ121" s="40"/>
      <c r="BA121" s="40"/>
    </row>
    <row r="122" spans="1:53" ht="15.75" customHeight="1" x14ac:dyDescent="0.2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39"/>
      <c r="AW122" s="39"/>
      <c r="AX122" s="26"/>
      <c r="AY122" s="26"/>
      <c r="AZ122" s="45"/>
      <c r="BA122" s="45"/>
    </row>
    <row r="123" spans="1:53" ht="15.75" customHeight="1" x14ac:dyDescent="0.2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39"/>
      <c r="AW123" s="39"/>
      <c r="AX123" s="26"/>
      <c r="AY123" s="26"/>
      <c r="AZ123" s="40"/>
      <c r="BA123" s="40"/>
    </row>
    <row r="124" spans="1:53" ht="15.75" customHeight="1" x14ac:dyDescent="0.2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39"/>
      <c r="AW124" s="39"/>
      <c r="AX124" s="26"/>
      <c r="AY124" s="26"/>
      <c r="AZ124" s="45"/>
      <c r="BA124" s="45"/>
    </row>
    <row r="125" spans="1:53" ht="15.75" customHeight="1" x14ac:dyDescent="0.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39"/>
      <c r="AW125" s="39"/>
      <c r="AX125" s="26"/>
      <c r="AY125" s="26"/>
      <c r="AZ125" s="40"/>
      <c r="BA125" s="40"/>
    </row>
    <row r="126" spans="1:53" ht="15.75" customHeight="1" x14ac:dyDescent="0.2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39"/>
      <c r="AW126" s="39"/>
      <c r="AX126" s="26"/>
      <c r="AY126" s="26"/>
      <c r="AZ126" s="45"/>
      <c r="BA126" s="45"/>
    </row>
    <row r="127" spans="1:53" ht="15.75" customHeight="1" x14ac:dyDescent="0.2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39"/>
      <c r="AW127" s="39"/>
      <c r="AX127" s="26"/>
      <c r="AY127" s="26"/>
      <c r="AZ127" s="40"/>
      <c r="BA127" s="40"/>
    </row>
    <row r="128" spans="1:53" ht="15.75" customHeight="1" x14ac:dyDescent="0.2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39"/>
      <c r="AW128" s="39"/>
      <c r="AX128" s="26"/>
      <c r="AY128" s="26"/>
      <c r="AZ128" s="45"/>
      <c r="BA128" s="45"/>
    </row>
    <row r="129" spans="1:53" ht="15.75" customHeight="1" x14ac:dyDescent="0.2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39"/>
      <c r="AW129" s="39"/>
      <c r="AX129" s="26"/>
      <c r="AY129" s="26"/>
      <c r="AZ129" s="40"/>
      <c r="BA129" s="40"/>
    </row>
    <row r="130" spans="1:53" ht="15.75" customHeight="1" x14ac:dyDescent="0.2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39"/>
      <c r="AW130" s="39"/>
      <c r="AX130" s="26"/>
      <c r="AY130" s="26"/>
      <c r="AZ130" s="45"/>
      <c r="BA130" s="45"/>
    </row>
    <row r="131" spans="1:53" ht="15.75" customHeight="1" x14ac:dyDescent="0.2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39"/>
      <c r="AW131" s="39"/>
      <c r="AX131" s="26"/>
      <c r="AY131" s="26"/>
      <c r="AZ131" s="40"/>
      <c r="BA131" s="40"/>
    </row>
    <row r="132" spans="1:53" ht="15.75" customHeight="1" x14ac:dyDescent="0.2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39"/>
      <c r="AW132" s="39"/>
      <c r="AX132" s="26"/>
      <c r="AY132" s="26"/>
      <c r="AZ132" s="45"/>
      <c r="BA132" s="45"/>
    </row>
    <row r="133" spans="1:53" ht="15.75" customHeight="1" x14ac:dyDescent="0.2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39"/>
      <c r="AW133" s="39"/>
      <c r="AX133" s="26"/>
      <c r="AY133" s="26"/>
      <c r="AZ133" s="40"/>
      <c r="BA133" s="40"/>
    </row>
    <row r="134" spans="1:53" ht="15.75" customHeight="1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39"/>
      <c r="AW134" s="39"/>
      <c r="AX134" s="26"/>
      <c r="AY134" s="26"/>
      <c r="AZ134" s="45"/>
      <c r="BA134" s="45"/>
    </row>
    <row r="135" spans="1:53" ht="15.75" customHeight="1" x14ac:dyDescent="0.2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39"/>
      <c r="AW135" s="39"/>
      <c r="AX135" s="26"/>
      <c r="AY135" s="26"/>
      <c r="AZ135" s="40"/>
      <c r="BA135" s="40"/>
    </row>
    <row r="136" spans="1:53" ht="15.75" customHeight="1" x14ac:dyDescent="0.2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39"/>
      <c r="AW136" s="39"/>
      <c r="AX136" s="26"/>
      <c r="AY136" s="26"/>
      <c r="AZ136" s="45"/>
      <c r="BA136" s="45"/>
    </row>
    <row r="137" spans="1:53" ht="15.75" customHeight="1" x14ac:dyDescent="0.2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39"/>
      <c r="AW137" s="39"/>
      <c r="AX137" s="26"/>
      <c r="AY137" s="26"/>
      <c r="AZ137" s="40"/>
      <c r="BA137" s="40"/>
    </row>
    <row r="138" spans="1:53" ht="15.75" customHeight="1" x14ac:dyDescent="0.2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39"/>
      <c r="AW138" s="39"/>
      <c r="AX138" s="26"/>
      <c r="AY138" s="26"/>
      <c r="AZ138" s="45"/>
      <c r="BA138" s="45"/>
    </row>
    <row r="139" spans="1:53" ht="15.75" customHeight="1" x14ac:dyDescent="0.2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39"/>
      <c r="AW139" s="39"/>
      <c r="AX139" s="26"/>
      <c r="AY139" s="26"/>
      <c r="AZ139" s="40"/>
      <c r="BA139" s="40"/>
    </row>
    <row r="140" spans="1:53" ht="15.75" customHeight="1" x14ac:dyDescent="0.2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39"/>
      <c r="AW140" s="39"/>
      <c r="AX140" s="26"/>
      <c r="AY140" s="26"/>
      <c r="AZ140" s="45"/>
      <c r="BA140" s="45"/>
    </row>
    <row r="141" spans="1:53" ht="15.75" customHeight="1" x14ac:dyDescent="0.2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39"/>
      <c r="AW141" s="39"/>
      <c r="AX141" s="26"/>
      <c r="AY141" s="26"/>
      <c r="AZ141" s="40"/>
      <c r="BA141" s="40"/>
    </row>
    <row r="142" spans="1:53" ht="15.75" customHeight="1" x14ac:dyDescent="0.2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39"/>
      <c r="AW142" s="39"/>
      <c r="AX142" s="26"/>
      <c r="AY142" s="26"/>
      <c r="AZ142" s="45"/>
      <c r="BA142" s="45"/>
    </row>
    <row r="143" spans="1:53" ht="15.75" customHeight="1" x14ac:dyDescent="0.2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39"/>
      <c r="AW143" s="39"/>
      <c r="AX143" s="26"/>
      <c r="AY143" s="26"/>
      <c r="AZ143" s="40"/>
      <c r="BA143" s="40"/>
    </row>
    <row r="144" spans="1:53" ht="15.75" customHeight="1" x14ac:dyDescent="0.2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39"/>
      <c r="AW144" s="39"/>
      <c r="AX144" s="26"/>
      <c r="AY144" s="26"/>
      <c r="AZ144" s="45"/>
      <c r="BA144" s="45"/>
    </row>
    <row r="145" spans="1:53" ht="15.75" customHeight="1" x14ac:dyDescent="0.2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39"/>
      <c r="AW145" s="39"/>
      <c r="AX145" s="26"/>
      <c r="AY145" s="26"/>
      <c r="AZ145" s="40"/>
      <c r="BA145" s="40"/>
    </row>
    <row r="146" spans="1:53" ht="15.75" customHeight="1" x14ac:dyDescent="0.2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39"/>
      <c r="AW146" s="39"/>
      <c r="AX146" s="26"/>
      <c r="AY146" s="26"/>
      <c r="AZ146" s="45"/>
      <c r="BA146" s="45"/>
    </row>
    <row r="147" spans="1:53" ht="15.75" customHeigh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39"/>
      <c r="AW147" s="39"/>
      <c r="AX147" s="26"/>
      <c r="AY147" s="26"/>
      <c r="AZ147" s="40"/>
      <c r="BA147" s="40"/>
    </row>
    <row r="148" spans="1:53" ht="15.75" customHeight="1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39"/>
      <c r="AW148" s="39"/>
      <c r="AX148" s="26"/>
      <c r="AY148" s="26"/>
      <c r="AZ148" s="45"/>
      <c r="BA148" s="45"/>
    </row>
    <row r="149" spans="1:53" ht="15.75" customHeigh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39"/>
      <c r="AW149" s="39"/>
      <c r="AX149" s="26"/>
      <c r="AY149" s="26"/>
      <c r="AZ149" s="40"/>
      <c r="BA149" s="40"/>
    </row>
    <row r="150" spans="1:53" ht="15.75" customHeight="1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39"/>
      <c r="AW150" s="39"/>
      <c r="AX150" s="26"/>
      <c r="AY150" s="26"/>
      <c r="AZ150" s="45"/>
      <c r="BA150" s="45"/>
    </row>
    <row r="151" spans="1:53" ht="15.75" customHeigh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39"/>
      <c r="AW151" s="39"/>
      <c r="AX151" s="26"/>
      <c r="AY151" s="26"/>
      <c r="AZ151" s="40"/>
      <c r="BA151" s="40"/>
    </row>
    <row r="152" spans="1:53" ht="15.75" customHeight="1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39"/>
      <c r="AW152" s="39"/>
      <c r="AX152" s="26"/>
      <c r="AY152" s="26"/>
      <c r="AZ152" s="45"/>
      <c r="BA152" s="45"/>
    </row>
    <row r="153" spans="1:53" ht="15.75" customHeigh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39"/>
      <c r="AW153" s="39"/>
      <c r="AX153" s="26"/>
      <c r="AY153" s="26"/>
      <c r="AZ153" s="40"/>
      <c r="BA153" s="40"/>
    </row>
    <row r="154" spans="1:53" ht="15.75" customHeight="1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39"/>
      <c r="AW154" s="39"/>
      <c r="AX154" s="26"/>
      <c r="AY154" s="26"/>
      <c r="AZ154" s="45"/>
      <c r="BA154" s="45"/>
    </row>
    <row r="155" spans="1:53" ht="15.75" customHeigh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39"/>
      <c r="AW155" s="39"/>
      <c r="AX155" s="26"/>
      <c r="AY155" s="26"/>
      <c r="AZ155" s="40"/>
      <c r="BA155" s="40"/>
    </row>
    <row r="156" spans="1:53" ht="15.75" customHeight="1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39"/>
      <c r="AW156" s="39"/>
      <c r="AX156" s="26"/>
      <c r="AY156" s="26"/>
      <c r="AZ156" s="45"/>
      <c r="BA156" s="45"/>
    </row>
    <row r="157" spans="1:53" ht="15.75" customHeigh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39"/>
      <c r="AW157" s="39"/>
      <c r="AX157" s="26"/>
      <c r="AY157" s="26"/>
      <c r="AZ157" s="40"/>
      <c r="BA157" s="40"/>
    </row>
    <row r="158" spans="1:53" ht="15.75" customHeight="1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39"/>
      <c r="AW158" s="39"/>
      <c r="AX158" s="26"/>
      <c r="AY158" s="26"/>
      <c r="AZ158" s="45"/>
      <c r="BA158" s="45"/>
    </row>
    <row r="159" spans="1:53" ht="15.75" customHeigh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39"/>
      <c r="AW159" s="39"/>
      <c r="AX159" s="26"/>
      <c r="AY159" s="26"/>
      <c r="AZ159" s="40"/>
      <c r="BA159" s="40"/>
    </row>
    <row r="160" spans="1:53" ht="15.75" customHeight="1" x14ac:dyDescent="0.2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39"/>
      <c r="AW160" s="39"/>
      <c r="AX160" s="26"/>
      <c r="AY160" s="26"/>
      <c r="AZ160" s="45"/>
      <c r="BA160" s="45"/>
    </row>
    <row r="161" spans="1:53" ht="15.75" customHeight="1" x14ac:dyDescent="0.25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39"/>
      <c r="AW161" s="39"/>
      <c r="AX161" s="26"/>
      <c r="AY161" s="26"/>
      <c r="AZ161" s="40"/>
      <c r="BA161" s="40"/>
    </row>
    <row r="162" spans="1:53" ht="15.75" customHeight="1" x14ac:dyDescent="0.25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39"/>
      <c r="AW162" s="39"/>
      <c r="AX162" s="26"/>
      <c r="AY162" s="26"/>
      <c r="AZ162" s="45"/>
      <c r="BA162" s="45"/>
    </row>
    <row r="163" spans="1:53" ht="15.75" customHeight="1" x14ac:dyDescent="0.25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39"/>
      <c r="AW163" s="39"/>
      <c r="AX163" s="26"/>
      <c r="AY163" s="26"/>
      <c r="AZ163" s="40"/>
      <c r="BA163" s="40"/>
    </row>
    <row r="164" spans="1:53" ht="15.75" customHeight="1" x14ac:dyDescent="0.25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39"/>
      <c r="AW164" s="39"/>
      <c r="AX164" s="26"/>
      <c r="AY164" s="26"/>
      <c r="AZ164" s="45"/>
      <c r="BA164" s="45"/>
    </row>
    <row r="165" spans="1:53" ht="15.75" customHeight="1" x14ac:dyDescent="0.2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39"/>
      <c r="AW165" s="39"/>
      <c r="AX165" s="26"/>
      <c r="AY165" s="26"/>
      <c r="AZ165" s="40"/>
      <c r="BA165" s="40"/>
    </row>
    <row r="166" spans="1:53" ht="15.75" customHeight="1" x14ac:dyDescent="0.25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39"/>
      <c r="AW166" s="39"/>
      <c r="AX166" s="26"/>
      <c r="AY166" s="26"/>
      <c r="AZ166" s="45"/>
      <c r="BA166" s="45"/>
    </row>
    <row r="167" spans="1:53" ht="15.75" customHeight="1" x14ac:dyDescent="0.25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39"/>
      <c r="AW167" s="39"/>
      <c r="AX167" s="26"/>
      <c r="AY167" s="26"/>
      <c r="AZ167" s="40"/>
      <c r="BA167" s="40"/>
    </row>
    <row r="168" spans="1:53" ht="15.75" customHeight="1" x14ac:dyDescent="0.25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39"/>
      <c r="AW168" s="39"/>
      <c r="AX168" s="26"/>
      <c r="AY168" s="26"/>
      <c r="AZ168" s="45"/>
      <c r="BA168" s="45"/>
    </row>
    <row r="169" spans="1:53" ht="15.75" customHeight="1" x14ac:dyDescent="0.25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39"/>
      <c r="AW169" s="39"/>
      <c r="AX169" s="26"/>
      <c r="AY169" s="26"/>
      <c r="AZ169" s="40"/>
      <c r="BA169" s="40"/>
    </row>
    <row r="170" spans="1:53" ht="15.75" customHeight="1" x14ac:dyDescent="0.25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39"/>
      <c r="AW170" s="39"/>
      <c r="AX170" s="26"/>
      <c r="AY170" s="26"/>
      <c r="AZ170" s="45"/>
      <c r="BA170" s="45"/>
    </row>
    <row r="171" spans="1:53" ht="15.75" customHeight="1" x14ac:dyDescent="0.25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39"/>
      <c r="AW171" s="39"/>
      <c r="AX171" s="26"/>
      <c r="AY171" s="26"/>
      <c r="AZ171" s="40"/>
      <c r="BA171" s="40"/>
    </row>
    <row r="172" spans="1:53" ht="15.75" customHeight="1" x14ac:dyDescent="0.25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39"/>
      <c r="AW172" s="39"/>
      <c r="AX172" s="26"/>
      <c r="AY172" s="26"/>
      <c r="AZ172" s="45"/>
      <c r="BA172" s="45"/>
    </row>
    <row r="173" spans="1:53" ht="15.75" customHeight="1" x14ac:dyDescent="0.25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39"/>
      <c r="AW173" s="39"/>
      <c r="AX173" s="26"/>
      <c r="AY173" s="26"/>
      <c r="AZ173" s="40"/>
      <c r="BA173" s="40"/>
    </row>
    <row r="174" spans="1:53" ht="15.75" customHeight="1" x14ac:dyDescent="0.25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39"/>
      <c r="AW174" s="39"/>
      <c r="AX174" s="26"/>
      <c r="AY174" s="26"/>
      <c r="AZ174" s="45"/>
      <c r="BA174" s="45"/>
    </row>
    <row r="175" spans="1:53" ht="15.75" customHeight="1" x14ac:dyDescent="0.2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39"/>
      <c r="AW175" s="39"/>
      <c r="AX175" s="26"/>
      <c r="AY175" s="26"/>
      <c r="AZ175" s="40"/>
      <c r="BA175" s="40"/>
    </row>
    <row r="176" spans="1:53" ht="15.75" customHeight="1" x14ac:dyDescent="0.25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39"/>
      <c r="AW176" s="39"/>
      <c r="AX176" s="26"/>
      <c r="AY176" s="26"/>
      <c r="AZ176" s="45"/>
      <c r="BA176" s="45"/>
    </row>
    <row r="177" spans="1:53" ht="15.75" customHeight="1" x14ac:dyDescent="0.25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39"/>
      <c r="AW177" s="39"/>
      <c r="AX177" s="26"/>
      <c r="AY177" s="26"/>
      <c r="AZ177" s="40"/>
      <c r="BA177" s="40"/>
    </row>
    <row r="178" spans="1:53" ht="15.75" customHeight="1" x14ac:dyDescent="0.25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39"/>
      <c r="AW178" s="39"/>
      <c r="AX178" s="26"/>
      <c r="AY178" s="26"/>
      <c r="AZ178" s="45"/>
      <c r="BA178" s="45"/>
    </row>
    <row r="179" spans="1:53" ht="15.75" customHeight="1" x14ac:dyDescent="0.25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39"/>
      <c r="AW179" s="39"/>
      <c r="AX179" s="26"/>
      <c r="AY179" s="26"/>
      <c r="AZ179" s="40"/>
      <c r="BA179" s="40"/>
    </row>
    <row r="180" spans="1:53" ht="15.75" customHeight="1" x14ac:dyDescent="0.25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39"/>
      <c r="AW180" s="39"/>
      <c r="AX180" s="26"/>
      <c r="AY180" s="26"/>
      <c r="AZ180" s="45"/>
      <c r="BA180" s="45"/>
    </row>
    <row r="181" spans="1:53" ht="15.75" customHeight="1" x14ac:dyDescent="0.25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39"/>
      <c r="AW181" s="39"/>
      <c r="AX181" s="26"/>
      <c r="AY181" s="26"/>
      <c r="AZ181" s="40"/>
      <c r="BA181" s="40"/>
    </row>
    <row r="182" spans="1:53" ht="15.75" customHeight="1" x14ac:dyDescent="0.25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39"/>
      <c r="AW182" s="39"/>
      <c r="AX182" s="26"/>
      <c r="AY182" s="26"/>
      <c r="AZ182" s="45"/>
      <c r="BA182" s="45"/>
    </row>
    <row r="183" spans="1:53" ht="15.75" customHeight="1" x14ac:dyDescent="0.25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39"/>
      <c r="AW183" s="39"/>
      <c r="AX183" s="26"/>
      <c r="AY183" s="26"/>
      <c r="AZ183" s="40"/>
      <c r="BA183" s="40"/>
    </row>
    <row r="184" spans="1:53" ht="15.75" customHeight="1" x14ac:dyDescent="0.25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39"/>
      <c r="AW184" s="39"/>
      <c r="AX184" s="26"/>
      <c r="AY184" s="26"/>
      <c r="AZ184" s="45"/>
      <c r="BA184" s="45"/>
    </row>
    <row r="185" spans="1:53" ht="15.75" customHeight="1" x14ac:dyDescent="0.2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39"/>
      <c r="AW185" s="39"/>
      <c r="AX185" s="26"/>
      <c r="AY185" s="26"/>
      <c r="AZ185" s="40"/>
      <c r="BA185" s="40"/>
    </row>
    <row r="186" spans="1:53" ht="15.75" customHeight="1" x14ac:dyDescent="0.25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39"/>
      <c r="AW186" s="39"/>
      <c r="AX186" s="26"/>
      <c r="AY186" s="26"/>
      <c r="AZ186" s="45"/>
      <c r="BA186" s="45"/>
    </row>
    <row r="187" spans="1:53" ht="15.75" customHeight="1" x14ac:dyDescent="0.25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39"/>
      <c r="AW187" s="39"/>
      <c r="AX187" s="26"/>
      <c r="AY187" s="26"/>
      <c r="AZ187" s="40"/>
      <c r="BA187" s="40"/>
    </row>
    <row r="188" spans="1:53" ht="15.75" customHeight="1" x14ac:dyDescent="0.25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39"/>
      <c r="AW188" s="39"/>
      <c r="AX188" s="26"/>
      <c r="AY188" s="26"/>
      <c r="AZ188" s="45"/>
      <c r="BA188" s="45"/>
    </row>
    <row r="189" spans="1:53" ht="15.75" customHeight="1" x14ac:dyDescent="0.25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39"/>
      <c r="AW189" s="39"/>
      <c r="AX189" s="26"/>
      <c r="AY189" s="26"/>
      <c r="AZ189" s="40"/>
      <c r="BA189" s="40"/>
    </row>
    <row r="190" spans="1:53" ht="15.75" customHeight="1" x14ac:dyDescent="0.25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39"/>
      <c r="AW190" s="39"/>
      <c r="AX190" s="26"/>
      <c r="AY190" s="26"/>
      <c r="AZ190" s="45"/>
      <c r="BA190" s="45"/>
    </row>
    <row r="191" spans="1:53" ht="15.75" customHeight="1" x14ac:dyDescent="0.25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39"/>
      <c r="AW191" s="39"/>
      <c r="AX191" s="26"/>
      <c r="AY191" s="26"/>
      <c r="AZ191" s="40"/>
      <c r="BA191" s="40"/>
    </row>
    <row r="192" spans="1:53" ht="15.75" customHeight="1" x14ac:dyDescent="0.25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39"/>
      <c r="AW192" s="39"/>
      <c r="AX192" s="26"/>
      <c r="AY192" s="26"/>
      <c r="AZ192" s="45"/>
      <c r="BA192" s="45"/>
    </row>
    <row r="193" spans="1:53" ht="15.75" customHeight="1" x14ac:dyDescent="0.25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39"/>
      <c r="AW193" s="39"/>
      <c r="AX193" s="26"/>
      <c r="AY193" s="26"/>
      <c r="AZ193" s="40"/>
      <c r="BA193" s="40"/>
    </row>
    <row r="194" spans="1:53" ht="15.75" customHeight="1" x14ac:dyDescent="0.25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39"/>
      <c r="AW194" s="39"/>
      <c r="AX194" s="26"/>
      <c r="AY194" s="26"/>
      <c r="AZ194" s="45"/>
      <c r="BA194" s="45"/>
    </row>
    <row r="195" spans="1:53" ht="15.75" customHeight="1" x14ac:dyDescent="0.2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39"/>
      <c r="AW195" s="39"/>
      <c r="AX195" s="26"/>
      <c r="AY195" s="26"/>
      <c r="AZ195" s="40"/>
      <c r="BA195" s="40"/>
    </row>
    <row r="196" spans="1:53" ht="15.75" customHeight="1" x14ac:dyDescent="0.25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39"/>
      <c r="AW196" s="39"/>
      <c r="AX196" s="26"/>
      <c r="AY196" s="26"/>
      <c r="AZ196" s="45"/>
      <c r="BA196" s="45"/>
    </row>
    <row r="197" spans="1:53" ht="15.75" customHeight="1" x14ac:dyDescent="0.25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39"/>
      <c r="AW197" s="39"/>
      <c r="AX197" s="26"/>
      <c r="AY197" s="26"/>
      <c r="AZ197" s="40"/>
      <c r="BA197" s="40"/>
    </row>
    <row r="198" spans="1:53" ht="15.75" customHeight="1" x14ac:dyDescent="0.25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39"/>
      <c r="AW198" s="39"/>
      <c r="AX198" s="26"/>
      <c r="AY198" s="26"/>
      <c r="AZ198" s="45"/>
      <c r="BA198" s="45"/>
    </row>
    <row r="199" spans="1:53" ht="15.75" customHeight="1" x14ac:dyDescent="0.2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39"/>
      <c r="AW199" s="39"/>
      <c r="AX199" s="26"/>
      <c r="AY199" s="26"/>
      <c r="AZ199" s="40"/>
      <c r="BA199" s="40"/>
    </row>
    <row r="200" spans="1:53" ht="15.75" customHeight="1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39"/>
      <c r="AW200" s="39"/>
      <c r="AX200" s="26"/>
      <c r="AY200" s="26"/>
      <c r="AZ200" s="45"/>
      <c r="BA200" s="45"/>
    </row>
    <row r="201" spans="1:53" ht="15.75" customHeigh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39"/>
      <c r="AW201" s="39"/>
      <c r="AX201" s="26"/>
      <c r="AY201" s="26"/>
      <c r="AZ201" s="40"/>
      <c r="BA201" s="40"/>
    </row>
    <row r="202" spans="1:53" ht="15.75" customHeight="1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39"/>
      <c r="AW202" s="39"/>
      <c r="AX202" s="26"/>
      <c r="AY202" s="26"/>
      <c r="AZ202" s="45"/>
      <c r="BA202" s="45"/>
    </row>
    <row r="203" spans="1:53" ht="15.75" customHeight="1" x14ac:dyDescent="0.2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39"/>
      <c r="AW203" s="39"/>
      <c r="AX203" s="26"/>
      <c r="AY203" s="26"/>
      <c r="AZ203" s="40"/>
      <c r="BA203" s="40"/>
    </row>
    <row r="204" spans="1:53" ht="15.75" customHeight="1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39"/>
      <c r="AW204" s="39"/>
      <c r="AX204" s="26"/>
      <c r="AY204" s="26"/>
      <c r="AZ204" s="45"/>
      <c r="BA204" s="45"/>
    </row>
    <row r="205" spans="1:53" ht="15.75" customHeight="1" x14ac:dyDescent="0.2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39"/>
      <c r="AW205" s="39"/>
      <c r="AX205" s="26"/>
      <c r="AY205" s="26"/>
      <c r="AZ205" s="40"/>
      <c r="BA205" s="40"/>
    </row>
    <row r="206" spans="1:53" ht="15.75" customHeight="1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39"/>
      <c r="AW206" s="39"/>
      <c r="AX206" s="26"/>
      <c r="AY206" s="26"/>
      <c r="AZ206" s="45"/>
      <c r="BA206" s="45"/>
    </row>
    <row r="207" spans="1:53" ht="15.75" customHeight="1" x14ac:dyDescent="0.2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39"/>
      <c r="AW207" s="39"/>
      <c r="AX207" s="26"/>
      <c r="AY207" s="26"/>
      <c r="AZ207" s="40"/>
      <c r="BA207" s="40"/>
    </row>
    <row r="208" spans="1:53" ht="15.75" customHeight="1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39"/>
      <c r="AW208" s="39"/>
      <c r="AX208" s="26"/>
      <c r="AY208" s="26"/>
      <c r="AZ208" s="45"/>
      <c r="BA208" s="45"/>
    </row>
    <row r="209" spans="1:53" ht="15.75" customHeight="1" x14ac:dyDescent="0.2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39"/>
      <c r="AW209" s="39"/>
      <c r="AX209" s="26"/>
      <c r="AY209" s="26"/>
      <c r="AZ209" s="40"/>
      <c r="BA209" s="40"/>
    </row>
    <row r="210" spans="1:53" ht="15.75" customHeight="1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39"/>
      <c r="AW210" s="39"/>
      <c r="AX210" s="26"/>
      <c r="AY210" s="26"/>
      <c r="AZ210" s="45"/>
      <c r="BA210" s="45"/>
    </row>
    <row r="211" spans="1:53" ht="15.75" customHeight="1" x14ac:dyDescent="0.2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39"/>
      <c r="AW211" s="39"/>
      <c r="AX211" s="26"/>
      <c r="AY211" s="26"/>
      <c r="AZ211" s="40"/>
      <c r="BA211" s="40"/>
    </row>
    <row r="212" spans="1:53" ht="15.75" customHeight="1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39"/>
      <c r="AW212" s="39"/>
      <c r="AX212" s="26"/>
      <c r="AY212" s="26"/>
      <c r="AZ212" s="45"/>
      <c r="BA212" s="45"/>
    </row>
    <row r="213" spans="1:53" ht="15.75" customHeight="1" x14ac:dyDescent="0.2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39"/>
      <c r="AW213" s="39"/>
      <c r="AX213" s="26"/>
      <c r="AY213" s="26"/>
      <c r="AZ213" s="40"/>
      <c r="BA213" s="40"/>
    </row>
    <row r="214" spans="1:53" ht="15.75" customHeight="1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39"/>
      <c r="AW214" s="39"/>
      <c r="AX214" s="26"/>
      <c r="AY214" s="26"/>
      <c r="AZ214" s="45"/>
      <c r="BA214" s="45"/>
    </row>
    <row r="215" spans="1:53" ht="15.75" customHeight="1" x14ac:dyDescent="0.2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39"/>
      <c r="AW215" s="39"/>
      <c r="AX215" s="26"/>
      <c r="AY215" s="26"/>
      <c r="AZ215" s="40"/>
      <c r="BA215" s="40"/>
    </row>
    <row r="216" spans="1:53" ht="15.75" customHeight="1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39"/>
      <c r="AW216" s="39"/>
      <c r="AX216" s="26"/>
      <c r="AY216" s="26"/>
      <c r="AZ216" s="45"/>
      <c r="BA216" s="45"/>
    </row>
    <row r="217" spans="1:53" ht="15.75" customHeight="1" x14ac:dyDescent="0.2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39"/>
      <c r="AW217" s="39"/>
      <c r="AX217" s="26"/>
      <c r="AY217" s="26"/>
      <c r="AZ217" s="40"/>
      <c r="BA217" s="40"/>
    </row>
    <row r="218" spans="1:53" ht="15.75" customHeight="1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39"/>
      <c r="AW218" s="39"/>
      <c r="AX218" s="26"/>
      <c r="AY218" s="26"/>
      <c r="AZ218" s="45"/>
      <c r="BA218" s="45"/>
    </row>
    <row r="219" spans="1:53" ht="15.75" customHeight="1" x14ac:dyDescent="0.2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39"/>
      <c r="AW219" s="39"/>
      <c r="AX219" s="26"/>
      <c r="AY219" s="26"/>
      <c r="AZ219" s="40"/>
      <c r="BA219" s="40"/>
    </row>
    <row r="220" spans="1:53" ht="15.75" customHeight="1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39"/>
      <c r="AW220" s="39"/>
      <c r="AX220" s="26"/>
      <c r="AY220" s="26"/>
      <c r="AZ220" s="45"/>
      <c r="BA220" s="45"/>
    </row>
    <row r="221" spans="1:53" ht="15.75" customHeight="1" x14ac:dyDescent="0.2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39"/>
      <c r="AW221" s="39"/>
      <c r="AX221" s="26"/>
      <c r="AY221" s="26"/>
      <c r="AZ221" s="40"/>
      <c r="BA221" s="40"/>
    </row>
    <row r="222" spans="1:53" ht="15.75" customHeight="1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39"/>
      <c r="AW222" s="39"/>
      <c r="AX222" s="26"/>
      <c r="AY222" s="26"/>
      <c r="AZ222" s="45"/>
      <c r="BA222" s="45"/>
    </row>
    <row r="223" spans="1:53" ht="15.75" customHeight="1" x14ac:dyDescent="0.2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39"/>
      <c r="AW223" s="39"/>
      <c r="AX223" s="26"/>
      <c r="AY223" s="26"/>
      <c r="AZ223" s="40"/>
      <c r="BA223" s="40"/>
    </row>
    <row r="224" spans="1:53" ht="15.75" customHeight="1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39"/>
      <c r="AW224" s="39"/>
      <c r="AX224" s="26"/>
      <c r="AY224" s="26"/>
      <c r="AZ224" s="45"/>
      <c r="BA224" s="45"/>
    </row>
    <row r="225" spans="1:53" ht="15.75" customHeight="1" x14ac:dyDescent="0.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39"/>
      <c r="AW225" s="39"/>
      <c r="AX225" s="26"/>
      <c r="AY225" s="26"/>
      <c r="AZ225" s="40"/>
      <c r="BA225" s="40"/>
    </row>
    <row r="226" spans="1:53" ht="15.75" customHeight="1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39"/>
      <c r="AW226" s="39"/>
      <c r="AX226" s="26"/>
      <c r="AY226" s="26"/>
      <c r="AZ226" s="45"/>
      <c r="BA226" s="45"/>
    </row>
    <row r="227" spans="1:53" ht="15.75" customHeight="1" x14ac:dyDescent="0.2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39"/>
      <c r="AW227" s="39"/>
      <c r="AX227" s="26"/>
      <c r="AY227" s="26"/>
      <c r="AZ227" s="40"/>
      <c r="BA227" s="40"/>
    </row>
    <row r="228" spans="1:53" ht="15.75" customHeight="1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39"/>
      <c r="AW228" s="39"/>
      <c r="AX228" s="26"/>
      <c r="AY228" s="26"/>
      <c r="AZ228" s="45"/>
      <c r="BA228" s="45"/>
    </row>
    <row r="229" spans="1:53" ht="15.75" customHeight="1" x14ac:dyDescent="0.2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39"/>
      <c r="AW229" s="39"/>
      <c r="AX229" s="26"/>
      <c r="AY229" s="26"/>
      <c r="AZ229" s="40"/>
      <c r="BA229" s="40"/>
    </row>
    <row r="230" spans="1:53" ht="15.75" customHeight="1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39"/>
      <c r="AW230" s="39"/>
      <c r="AX230" s="26"/>
      <c r="AY230" s="26"/>
      <c r="AZ230" s="45"/>
      <c r="BA230" s="45"/>
    </row>
    <row r="231" spans="1:53" ht="15.75" customHeight="1" x14ac:dyDescent="0.2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39"/>
      <c r="AW231" s="39"/>
      <c r="AX231" s="26"/>
      <c r="AY231" s="26"/>
      <c r="AZ231" s="40"/>
      <c r="BA231" s="40"/>
    </row>
    <row r="232" spans="1:53" ht="15.75" customHeight="1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39"/>
      <c r="AW232" s="39"/>
      <c r="AX232" s="26"/>
      <c r="AY232" s="26"/>
      <c r="AZ232" s="45"/>
      <c r="BA232" s="45"/>
    </row>
    <row r="233" spans="1:53" ht="15.75" customHeight="1" x14ac:dyDescent="0.2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39"/>
      <c r="AW233" s="39"/>
      <c r="AX233" s="26"/>
      <c r="AY233" s="26"/>
      <c r="AZ233" s="40"/>
      <c r="BA233" s="40"/>
    </row>
    <row r="234" spans="1:53" ht="15.75" customHeight="1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39"/>
      <c r="AW234" s="39"/>
      <c r="AX234" s="26"/>
      <c r="AY234" s="26"/>
      <c r="AZ234" s="45"/>
      <c r="BA234" s="45"/>
    </row>
    <row r="235" spans="1:53" ht="15.75" customHeight="1" x14ac:dyDescent="0.2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39"/>
      <c r="AW235" s="39"/>
      <c r="AX235" s="26"/>
      <c r="AY235" s="26"/>
      <c r="AZ235" s="40"/>
      <c r="BA235" s="40"/>
    </row>
    <row r="236" spans="1:53" ht="15.75" customHeight="1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39"/>
      <c r="AW236" s="39"/>
      <c r="AX236" s="26"/>
      <c r="AY236" s="26"/>
      <c r="AZ236" s="45"/>
      <c r="BA236" s="45"/>
    </row>
    <row r="237" spans="1:53" ht="15.75" customHeight="1" x14ac:dyDescent="0.2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39"/>
      <c r="AW237" s="39"/>
      <c r="AX237" s="26"/>
      <c r="AY237" s="26"/>
      <c r="AZ237" s="40"/>
      <c r="BA237" s="40"/>
    </row>
    <row r="238" spans="1:53" ht="15.75" customHeight="1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39"/>
      <c r="AW238" s="39"/>
      <c r="AX238" s="26"/>
      <c r="AY238" s="26"/>
      <c r="AZ238" s="45"/>
      <c r="BA238" s="45"/>
    </row>
    <row r="239" spans="1:53" ht="15.75" customHeight="1" x14ac:dyDescent="0.2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39"/>
      <c r="AW239" s="39"/>
      <c r="AX239" s="26"/>
      <c r="AY239" s="26"/>
      <c r="AZ239" s="40"/>
      <c r="BA239" s="40"/>
    </row>
    <row r="240" spans="1:53" ht="15.75" customHeight="1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39"/>
      <c r="AW240" s="39"/>
      <c r="AX240" s="26"/>
      <c r="AY240" s="26"/>
      <c r="AZ240" s="45"/>
      <c r="BA240" s="45"/>
    </row>
    <row r="241" spans="1:53" ht="15.75" customHeight="1" x14ac:dyDescent="0.2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39"/>
      <c r="AW241" s="39"/>
      <c r="AX241" s="26"/>
      <c r="AY241" s="26"/>
      <c r="AZ241" s="40"/>
      <c r="BA241" s="40"/>
    </row>
    <row r="242" spans="1:53" ht="15.75" customHeight="1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39"/>
      <c r="AW242" s="39"/>
      <c r="AX242" s="26"/>
      <c r="AY242" s="26"/>
      <c r="AZ242" s="45"/>
      <c r="BA242" s="45"/>
    </row>
    <row r="243" spans="1:53" ht="15.75" customHeight="1" x14ac:dyDescent="0.2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39"/>
      <c r="AW243" s="39"/>
      <c r="AX243" s="26"/>
      <c r="AY243" s="26"/>
      <c r="AZ243" s="40"/>
      <c r="BA243" s="40"/>
    </row>
    <row r="244" spans="1:53" ht="15.75" customHeight="1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39"/>
      <c r="AW244" s="39"/>
      <c r="AX244" s="26"/>
      <c r="AY244" s="26"/>
      <c r="AZ244" s="45"/>
      <c r="BA244" s="45"/>
    </row>
    <row r="245" spans="1:53" ht="15.75" customHeight="1" x14ac:dyDescent="0.2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39"/>
      <c r="AW245" s="39"/>
      <c r="AX245" s="26"/>
      <c r="AY245" s="26"/>
      <c r="AZ245" s="40"/>
      <c r="BA245" s="40"/>
    </row>
    <row r="246" spans="1:53" ht="15.75" customHeight="1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39"/>
      <c r="AW246" s="39"/>
      <c r="AX246" s="26"/>
      <c r="AY246" s="26"/>
      <c r="AZ246" s="45"/>
      <c r="BA246" s="45"/>
    </row>
    <row r="247" spans="1:53" ht="15.75" customHeight="1" x14ac:dyDescent="0.2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39"/>
      <c r="AW247" s="39"/>
      <c r="AX247" s="26"/>
      <c r="AY247" s="26"/>
      <c r="AZ247" s="40"/>
      <c r="BA247" s="40"/>
    </row>
    <row r="248" spans="1:53" ht="15.75" customHeight="1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39"/>
      <c r="AW248" s="39"/>
      <c r="AX248" s="26"/>
      <c r="AY248" s="26"/>
      <c r="AZ248" s="45"/>
      <c r="BA248" s="45"/>
    </row>
    <row r="249" spans="1:53" ht="15.75" customHeight="1" x14ac:dyDescent="0.2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39"/>
      <c r="AW249" s="39"/>
      <c r="AX249" s="26"/>
      <c r="AY249" s="26"/>
      <c r="AZ249" s="40"/>
      <c r="BA249" s="40"/>
    </row>
    <row r="250" spans="1:53" ht="15.75" customHeight="1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39"/>
      <c r="AW250" s="39"/>
      <c r="AX250" s="26"/>
      <c r="AY250" s="26"/>
      <c r="AZ250" s="45"/>
      <c r="BA250" s="45"/>
    </row>
    <row r="251" spans="1:53" ht="15.75" customHeight="1" x14ac:dyDescent="0.2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39"/>
      <c r="AW251" s="39"/>
      <c r="AX251" s="26"/>
      <c r="AY251" s="26"/>
      <c r="AZ251" s="40"/>
      <c r="BA251" s="40"/>
    </row>
    <row r="252" spans="1:53" ht="15.75" customHeight="1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39"/>
      <c r="AW252" s="39"/>
      <c r="AX252" s="26"/>
      <c r="AY252" s="26"/>
      <c r="AZ252" s="45"/>
      <c r="BA252" s="45"/>
    </row>
    <row r="253" spans="1:53" ht="15.75" customHeight="1" x14ac:dyDescent="0.2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39"/>
      <c r="AW253" s="39"/>
      <c r="AX253" s="26"/>
      <c r="AY253" s="26"/>
      <c r="AZ253" s="40"/>
      <c r="BA253" s="40"/>
    </row>
    <row r="254" spans="1:53" ht="15.75" customHeight="1" x14ac:dyDescent="0.2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39"/>
      <c r="AW254" s="39"/>
      <c r="AX254" s="26"/>
      <c r="AY254" s="26"/>
      <c r="AZ254" s="45"/>
      <c r="BA254" s="45"/>
    </row>
    <row r="255" spans="1:53" ht="15.75" customHeight="1" x14ac:dyDescent="0.2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39"/>
      <c r="AW255" s="39"/>
      <c r="AX255" s="26"/>
      <c r="AY255" s="26"/>
      <c r="AZ255" s="40"/>
      <c r="BA255" s="40"/>
    </row>
    <row r="256" spans="1:53" ht="15.75" customHeight="1" x14ac:dyDescent="0.2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39"/>
      <c r="AW256" s="39"/>
      <c r="AX256" s="26"/>
      <c r="AY256" s="26"/>
      <c r="AZ256" s="45"/>
      <c r="BA256" s="45"/>
    </row>
    <row r="257" spans="1:53" ht="15.75" customHeight="1" x14ac:dyDescent="0.2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39"/>
      <c r="AW257" s="39"/>
      <c r="AX257" s="26"/>
      <c r="AY257" s="26"/>
      <c r="AZ257" s="40"/>
      <c r="BA257" s="40"/>
    </row>
    <row r="258" spans="1:53" ht="15.75" customHeight="1" x14ac:dyDescent="0.2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39"/>
      <c r="AW258" s="39"/>
      <c r="AX258" s="26"/>
      <c r="AY258" s="26"/>
      <c r="AZ258" s="45"/>
      <c r="BA258" s="45"/>
    </row>
    <row r="259" spans="1:53" ht="15.75" customHeight="1" x14ac:dyDescent="0.2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39"/>
      <c r="AW259" s="39"/>
      <c r="AX259" s="26"/>
      <c r="AY259" s="26"/>
      <c r="AZ259" s="40"/>
      <c r="BA259" s="40"/>
    </row>
    <row r="260" spans="1:53" ht="15.75" customHeight="1" x14ac:dyDescent="0.2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39"/>
      <c r="AW260" s="39"/>
      <c r="AX260" s="26"/>
      <c r="AY260" s="26"/>
      <c r="AZ260" s="45"/>
      <c r="BA260" s="45"/>
    </row>
    <row r="261" spans="1:53" ht="15.75" customHeight="1" x14ac:dyDescent="0.2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39"/>
      <c r="AW261" s="39"/>
      <c r="AX261" s="26"/>
      <c r="AY261" s="26"/>
      <c r="AZ261" s="40"/>
      <c r="BA261" s="40"/>
    </row>
    <row r="262" spans="1:53" ht="15.75" customHeight="1" x14ac:dyDescent="0.2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39"/>
      <c r="AW262" s="39"/>
      <c r="AX262" s="26"/>
      <c r="AY262" s="26"/>
      <c r="AZ262" s="45"/>
      <c r="BA262" s="45"/>
    </row>
    <row r="263" spans="1:53" ht="15.75" customHeight="1" x14ac:dyDescent="0.2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39"/>
      <c r="AW263" s="39"/>
      <c r="AX263" s="26"/>
      <c r="AY263" s="26"/>
      <c r="AZ263" s="40"/>
      <c r="BA263" s="40"/>
    </row>
    <row r="264" spans="1:53" ht="15.75" customHeight="1" x14ac:dyDescent="0.2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39"/>
      <c r="AW264" s="39"/>
      <c r="AX264" s="26"/>
      <c r="AY264" s="26"/>
      <c r="AZ264" s="45"/>
      <c r="BA264" s="45"/>
    </row>
    <row r="265" spans="1:53" ht="15.75" customHeight="1" x14ac:dyDescent="0.2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39"/>
      <c r="AW265" s="39"/>
      <c r="AX265" s="26"/>
      <c r="AY265" s="26"/>
      <c r="AZ265" s="40"/>
      <c r="BA265" s="40"/>
    </row>
    <row r="266" spans="1:53" ht="15.75" customHeight="1" x14ac:dyDescent="0.2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39"/>
      <c r="AW266" s="39"/>
      <c r="AX266" s="26"/>
      <c r="AY266" s="26"/>
      <c r="AZ266" s="45"/>
      <c r="BA266" s="45"/>
    </row>
    <row r="267" spans="1:53" ht="15.75" customHeight="1" x14ac:dyDescent="0.2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39"/>
      <c r="AW267" s="39"/>
      <c r="AX267" s="26"/>
      <c r="AY267" s="26"/>
      <c r="AZ267" s="40"/>
      <c r="BA267" s="40"/>
    </row>
    <row r="268" spans="1:53" ht="15.75" customHeight="1" x14ac:dyDescent="0.2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39"/>
      <c r="AW268" s="39"/>
      <c r="AX268" s="26"/>
      <c r="AY268" s="26"/>
      <c r="AZ268" s="45"/>
      <c r="BA268" s="45"/>
    </row>
    <row r="269" spans="1:53" ht="15.75" customHeight="1" x14ac:dyDescent="0.2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39"/>
      <c r="AW269" s="39"/>
      <c r="AX269" s="26"/>
      <c r="AY269" s="26"/>
      <c r="AZ269" s="40"/>
      <c r="BA269" s="40"/>
    </row>
    <row r="270" spans="1:53" ht="15.75" customHeight="1" x14ac:dyDescent="0.2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39"/>
      <c r="AW270" s="39"/>
      <c r="AX270" s="26"/>
      <c r="AY270" s="26"/>
      <c r="AZ270" s="45"/>
      <c r="BA270" s="45"/>
    </row>
    <row r="271" spans="1:53" ht="15.75" customHeight="1" x14ac:dyDescent="0.2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39"/>
      <c r="AW271" s="39"/>
      <c r="AX271" s="26"/>
      <c r="AY271" s="26"/>
      <c r="AZ271" s="40"/>
      <c r="BA271" s="40"/>
    </row>
    <row r="272" spans="1:53" ht="15.75" customHeight="1" x14ac:dyDescent="0.2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39"/>
      <c r="AW272" s="39"/>
      <c r="AX272" s="26"/>
      <c r="AY272" s="26"/>
      <c r="AZ272" s="45"/>
      <c r="BA272" s="45"/>
    </row>
    <row r="273" spans="1:53" ht="15.75" customHeight="1" x14ac:dyDescent="0.2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39"/>
      <c r="AW273" s="39"/>
      <c r="AX273" s="26"/>
      <c r="AY273" s="26"/>
      <c r="AZ273" s="40"/>
      <c r="BA273" s="40"/>
    </row>
    <row r="274" spans="1:53" ht="15.75" customHeight="1" x14ac:dyDescent="0.2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39"/>
      <c r="AW274" s="39"/>
      <c r="AX274" s="26"/>
      <c r="AY274" s="26"/>
      <c r="AZ274" s="45"/>
      <c r="BA274" s="45"/>
    </row>
    <row r="275" spans="1:53" ht="15.75" customHeight="1" x14ac:dyDescent="0.2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39"/>
      <c r="AW275" s="39"/>
      <c r="AX275" s="26"/>
      <c r="AY275" s="26"/>
      <c r="AZ275" s="40"/>
      <c r="BA275" s="40"/>
    </row>
    <row r="276" spans="1:53" ht="15.75" customHeight="1" x14ac:dyDescent="0.2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39"/>
      <c r="AW276" s="39"/>
      <c r="AX276" s="26"/>
      <c r="AY276" s="26"/>
      <c r="AZ276" s="45"/>
      <c r="BA276" s="45"/>
    </row>
    <row r="277" spans="1:53" ht="15.75" customHeight="1" x14ac:dyDescent="0.2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39"/>
      <c r="AW277" s="39"/>
      <c r="AX277" s="26"/>
      <c r="AY277" s="26"/>
      <c r="AZ277" s="40"/>
      <c r="BA277" s="40"/>
    </row>
    <row r="278" spans="1:53" ht="15.75" customHeight="1" x14ac:dyDescent="0.2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39"/>
      <c r="AW278" s="39"/>
      <c r="AX278" s="26"/>
      <c r="AY278" s="26"/>
      <c r="AZ278" s="45"/>
      <c r="BA278" s="45"/>
    </row>
    <row r="279" spans="1:53" ht="15.75" customHeight="1" x14ac:dyDescent="0.2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39"/>
      <c r="AW279" s="39"/>
      <c r="AX279" s="26"/>
      <c r="AY279" s="26"/>
      <c r="AZ279" s="40"/>
      <c r="BA279" s="40"/>
    </row>
    <row r="280" spans="1:53" ht="15.75" customHeight="1" x14ac:dyDescent="0.2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39"/>
      <c r="AW280" s="39"/>
      <c r="AX280" s="26"/>
      <c r="AY280" s="26"/>
      <c r="AZ280" s="45"/>
      <c r="BA280" s="45"/>
    </row>
    <row r="281" spans="1:53" ht="15.75" customHeight="1" x14ac:dyDescent="0.2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39"/>
      <c r="AW281" s="39"/>
      <c r="AX281" s="26"/>
      <c r="AY281" s="26"/>
      <c r="AZ281" s="40"/>
      <c r="BA281" s="40"/>
    </row>
    <row r="282" spans="1:53" ht="15.75" customHeight="1" x14ac:dyDescent="0.2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39"/>
      <c r="AW282" s="39"/>
      <c r="AX282" s="26"/>
      <c r="AY282" s="26"/>
      <c r="AZ282" s="45"/>
      <c r="BA282" s="45"/>
    </row>
    <row r="283" spans="1:53" ht="15.75" customHeight="1" x14ac:dyDescent="0.2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39"/>
      <c r="AW283" s="39"/>
      <c r="AX283" s="26"/>
      <c r="AY283" s="26"/>
      <c r="AZ283" s="40"/>
      <c r="BA283" s="40"/>
    </row>
    <row r="284" spans="1:53" ht="15.75" customHeight="1" x14ac:dyDescent="0.2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39"/>
      <c r="AW284" s="39"/>
      <c r="AX284" s="26"/>
      <c r="AY284" s="26"/>
      <c r="AZ284" s="45"/>
      <c r="BA284" s="45"/>
    </row>
    <row r="285" spans="1:53" ht="15.75" customHeight="1" x14ac:dyDescent="0.2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39"/>
      <c r="AW285" s="39"/>
      <c r="AX285" s="26"/>
      <c r="AY285" s="26"/>
      <c r="AZ285" s="40"/>
      <c r="BA285" s="40"/>
    </row>
    <row r="286" spans="1:53" ht="15.75" customHeight="1" x14ac:dyDescent="0.2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39"/>
      <c r="AW286" s="39"/>
      <c r="AX286" s="26"/>
      <c r="AY286" s="26"/>
      <c r="AZ286" s="45"/>
      <c r="BA286" s="45"/>
    </row>
    <row r="287" spans="1:53" ht="15.75" customHeight="1" x14ac:dyDescent="0.2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39"/>
      <c r="AW287" s="39"/>
      <c r="AX287" s="26"/>
      <c r="AY287" s="26"/>
      <c r="AZ287" s="40"/>
      <c r="BA287" s="40"/>
    </row>
    <row r="288" spans="1:53" ht="15.75" customHeight="1" x14ac:dyDescent="0.2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39"/>
      <c r="AW288" s="39"/>
      <c r="AX288" s="26"/>
      <c r="AY288" s="26"/>
      <c r="AZ288" s="45"/>
      <c r="BA288" s="45"/>
    </row>
    <row r="289" spans="1:53" ht="15.75" customHeight="1" x14ac:dyDescent="0.2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39"/>
      <c r="AW289" s="39"/>
      <c r="AX289" s="26"/>
      <c r="AY289" s="26"/>
      <c r="AZ289" s="40"/>
      <c r="BA289" s="40"/>
    </row>
    <row r="290" spans="1:53" ht="15.75" customHeight="1" x14ac:dyDescent="0.2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39"/>
      <c r="AW290" s="39"/>
      <c r="AX290" s="26"/>
      <c r="AY290" s="26"/>
      <c r="AZ290" s="45"/>
      <c r="BA290" s="45"/>
    </row>
    <row r="291" spans="1:53" ht="15.75" customHeight="1" x14ac:dyDescent="0.2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39"/>
      <c r="AW291" s="39"/>
      <c r="AX291" s="26"/>
      <c r="AY291" s="26"/>
      <c r="AZ291" s="40"/>
      <c r="BA291" s="40"/>
    </row>
    <row r="292" spans="1:53" ht="15.75" customHeight="1" x14ac:dyDescent="0.2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39"/>
      <c r="AW292" s="39"/>
      <c r="AX292" s="26"/>
      <c r="AY292" s="26"/>
      <c r="AZ292" s="45"/>
      <c r="BA292" s="45"/>
    </row>
    <row r="293" spans="1:53" ht="15.75" customHeight="1" x14ac:dyDescent="0.2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39"/>
      <c r="AW293" s="39"/>
      <c r="AX293" s="26"/>
      <c r="AY293" s="26"/>
      <c r="AZ293" s="40"/>
      <c r="BA293" s="40"/>
    </row>
    <row r="294" spans="1:53" ht="15.75" customHeight="1" x14ac:dyDescent="0.2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39"/>
      <c r="AW294" s="39"/>
      <c r="AX294" s="26"/>
      <c r="AY294" s="26"/>
      <c r="AZ294" s="45"/>
      <c r="BA294" s="45"/>
    </row>
    <row r="295" spans="1:53" ht="15.75" customHeight="1" x14ac:dyDescent="0.2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39"/>
      <c r="AW295" s="39"/>
      <c r="AX295" s="26"/>
      <c r="AY295" s="26"/>
      <c r="AZ295" s="40"/>
      <c r="BA295" s="40"/>
    </row>
    <row r="296" spans="1:53" ht="15.75" customHeight="1" x14ac:dyDescent="0.2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39"/>
      <c r="AW296" s="39"/>
      <c r="AX296" s="26"/>
      <c r="AY296" s="26"/>
      <c r="AZ296" s="45"/>
      <c r="BA296" s="45"/>
    </row>
    <row r="297" spans="1:53" ht="15.75" customHeight="1" x14ac:dyDescent="0.2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39"/>
      <c r="AW297" s="39"/>
      <c r="AX297" s="26"/>
      <c r="AY297" s="26"/>
      <c r="AZ297" s="40"/>
      <c r="BA297" s="40"/>
    </row>
    <row r="298" spans="1:53" ht="15.75" customHeight="1" x14ac:dyDescent="0.2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39"/>
      <c r="AW298" s="39"/>
      <c r="AX298" s="26"/>
      <c r="AY298" s="26"/>
      <c r="AZ298" s="45"/>
      <c r="BA298" s="45"/>
    </row>
    <row r="299" spans="1:53" ht="15.75" customHeight="1" x14ac:dyDescent="0.2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39"/>
      <c r="AW299" s="39"/>
      <c r="AX299" s="26"/>
      <c r="AY299" s="26"/>
      <c r="AZ299" s="40"/>
      <c r="BA299" s="40"/>
    </row>
    <row r="300" spans="1:53" ht="15.75" customHeight="1" x14ac:dyDescent="0.2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39"/>
      <c r="AW300" s="39"/>
      <c r="AX300" s="26"/>
      <c r="AY300" s="26"/>
      <c r="AZ300" s="45"/>
      <c r="BA300" s="45"/>
    </row>
    <row r="301" spans="1:53" ht="15.75" customHeight="1" x14ac:dyDescent="0.2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39"/>
      <c r="AW301" s="39"/>
      <c r="AX301" s="26"/>
      <c r="AY301" s="26"/>
      <c r="AZ301" s="40"/>
      <c r="BA301" s="40"/>
    </row>
    <row r="302" spans="1:53" ht="15.75" customHeight="1" x14ac:dyDescent="0.2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39"/>
      <c r="AW302" s="39"/>
      <c r="AX302" s="26"/>
      <c r="AY302" s="26"/>
      <c r="AZ302" s="45"/>
      <c r="BA302" s="45"/>
    </row>
    <row r="303" spans="1:53" ht="15.75" customHeight="1" x14ac:dyDescent="0.2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39"/>
      <c r="AW303" s="39"/>
      <c r="AX303" s="26"/>
      <c r="AY303" s="26"/>
      <c r="AZ303" s="40"/>
      <c r="BA303" s="40"/>
    </row>
    <row r="304" spans="1:53" ht="15.75" customHeight="1" x14ac:dyDescent="0.2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39"/>
      <c r="AW304" s="39"/>
      <c r="AX304" s="26"/>
      <c r="AY304" s="26"/>
      <c r="AZ304" s="45"/>
      <c r="BA304" s="45"/>
    </row>
    <row r="305" spans="1:53" ht="15.75" customHeight="1" x14ac:dyDescent="0.2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39"/>
      <c r="AW305" s="39"/>
      <c r="AX305" s="26"/>
      <c r="AY305" s="26"/>
      <c r="AZ305" s="40"/>
      <c r="BA305" s="40"/>
    </row>
    <row r="306" spans="1:53" ht="15.75" customHeight="1" x14ac:dyDescent="0.2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39"/>
      <c r="AW306" s="39"/>
      <c r="AX306" s="26"/>
      <c r="AY306" s="26"/>
      <c r="AZ306" s="45"/>
      <c r="BA306" s="45"/>
    </row>
    <row r="307" spans="1:53" ht="15.75" customHeight="1" x14ac:dyDescent="0.2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39"/>
      <c r="AW307" s="39"/>
      <c r="AX307" s="26"/>
      <c r="AY307" s="26"/>
      <c r="AZ307" s="40"/>
      <c r="BA307" s="40"/>
    </row>
    <row r="308" spans="1:53" ht="15.75" customHeight="1" x14ac:dyDescent="0.2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39"/>
      <c r="AW308" s="39"/>
      <c r="AX308" s="26"/>
      <c r="AY308" s="26"/>
      <c r="AZ308" s="45"/>
      <c r="BA308" s="45"/>
    </row>
    <row r="309" spans="1:53" ht="15.75" customHeight="1" x14ac:dyDescent="0.2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39"/>
      <c r="AW309" s="39"/>
      <c r="AX309" s="26"/>
      <c r="AY309" s="26"/>
      <c r="AZ309" s="40"/>
      <c r="BA309" s="40"/>
    </row>
    <row r="310" spans="1:53" ht="15.75" customHeight="1" x14ac:dyDescent="0.2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39"/>
      <c r="AW310" s="39"/>
      <c r="AX310" s="26"/>
      <c r="AY310" s="26"/>
      <c r="AZ310" s="45"/>
      <c r="BA310" s="45"/>
    </row>
    <row r="311" spans="1:53" ht="15.75" customHeight="1" x14ac:dyDescent="0.2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39"/>
      <c r="AW311" s="39"/>
      <c r="AX311" s="26"/>
      <c r="AY311" s="26"/>
      <c r="AZ311" s="40"/>
      <c r="BA311" s="40"/>
    </row>
    <row r="312" spans="1:53" ht="15.75" customHeight="1" x14ac:dyDescent="0.2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39"/>
      <c r="AW312" s="39"/>
      <c r="AX312" s="26"/>
      <c r="AY312" s="26"/>
      <c r="AZ312" s="45"/>
      <c r="BA312" s="45"/>
    </row>
    <row r="313" spans="1:53" ht="15.75" customHeight="1" x14ac:dyDescent="0.2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39"/>
      <c r="AW313" s="39"/>
      <c r="AX313" s="26"/>
      <c r="AY313" s="26"/>
      <c r="AZ313" s="40"/>
      <c r="BA313" s="40"/>
    </row>
    <row r="314" spans="1:53" ht="15.75" customHeight="1" x14ac:dyDescent="0.2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39"/>
      <c r="AW314" s="39"/>
      <c r="AX314" s="26"/>
      <c r="AY314" s="26"/>
      <c r="AZ314" s="45"/>
      <c r="BA314" s="45"/>
    </row>
    <row r="315" spans="1:53" ht="15.75" customHeight="1" x14ac:dyDescent="0.2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39"/>
      <c r="AW315" s="39"/>
      <c r="AX315" s="26"/>
      <c r="AY315" s="26"/>
      <c r="AZ315" s="40"/>
      <c r="BA315" s="40"/>
    </row>
    <row r="316" spans="1:53" ht="15.75" customHeight="1" x14ac:dyDescent="0.2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39"/>
      <c r="AW316" s="39"/>
      <c r="AX316" s="26"/>
      <c r="AY316" s="26"/>
      <c r="AZ316" s="45"/>
      <c r="BA316" s="45"/>
    </row>
    <row r="317" spans="1:53" ht="15.75" customHeight="1" x14ac:dyDescent="0.2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39"/>
      <c r="AW317" s="39"/>
      <c r="AX317" s="26"/>
      <c r="AY317" s="26"/>
      <c r="AZ317" s="40"/>
      <c r="BA317" s="40"/>
    </row>
    <row r="318" spans="1:53" ht="15.75" customHeight="1" x14ac:dyDescent="0.2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39"/>
      <c r="AW318" s="39"/>
      <c r="AX318" s="26"/>
      <c r="AY318" s="26"/>
      <c r="AZ318" s="45"/>
      <c r="BA318" s="45"/>
    </row>
    <row r="319" spans="1:53" ht="15.75" customHeight="1" x14ac:dyDescent="0.2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39"/>
      <c r="AW319" s="39"/>
      <c r="AX319" s="26"/>
      <c r="AY319" s="26"/>
      <c r="AZ319" s="40"/>
      <c r="BA319" s="40"/>
    </row>
    <row r="320" spans="1:53" ht="15.75" customHeight="1" x14ac:dyDescent="0.2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39"/>
      <c r="AW320" s="39"/>
      <c r="AX320" s="26"/>
      <c r="AY320" s="26"/>
      <c r="AZ320" s="45"/>
      <c r="BA320" s="45"/>
    </row>
    <row r="321" spans="1:53" ht="15.75" customHeight="1" x14ac:dyDescent="0.2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39"/>
      <c r="AW321" s="39"/>
      <c r="AX321" s="26"/>
      <c r="AY321" s="26"/>
      <c r="AZ321" s="40"/>
      <c r="BA321" s="40"/>
    </row>
    <row r="322" spans="1:53" ht="15.75" customHeight="1" x14ac:dyDescent="0.2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39"/>
      <c r="AW322" s="39"/>
      <c r="AX322" s="26"/>
      <c r="AY322" s="26"/>
      <c r="AZ322" s="45"/>
      <c r="BA322" s="45"/>
    </row>
    <row r="323" spans="1:53" ht="15.75" customHeight="1" x14ac:dyDescent="0.2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39"/>
      <c r="AW323" s="39"/>
      <c r="AX323" s="26"/>
      <c r="AY323" s="26"/>
      <c r="AZ323" s="40"/>
      <c r="BA323" s="40"/>
    </row>
    <row r="324" spans="1:53" ht="15.75" customHeight="1" x14ac:dyDescent="0.2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39"/>
      <c r="AW324" s="39"/>
      <c r="AX324" s="26"/>
      <c r="AY324" s="26"/>
      <c r="AZ324" s="45"/>
      <c r="BA324" s="45"/>
    </row>
    <row r="325" spans="1:53" ht="15.75" customHeight="1" x14ac:dyDescent="0.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39"/>
      <c r="AW325" s="39"/>
      <c r="AX325" s="26"/>
      <c r="AY325" s="26"/>
      <c r="AZ325" s="40"/>
      <c r="BA325" s="40"/>
    </row>
    <row r="326" spans="1:53" ht="15.75" customHeight="1" x14ac:dyDescent="0.2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39"/>
      <c r="AW326" s="39"/>
      <c r="AX326" s="26"/>
      <c r="AY326" s="26"/>
      <c r="AZ326" s="45"/>
      <c r="BA326" s="45"/>
    </row>
    <row r="327" spans="1:53" ht="15.75" customHeight="1" x14ac:dyDescent="0.2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39"/>
      <c r="AW327" s="39"/>
      <c r="AX327" s="26"/>
      <c r="AY327" s="26"/>
      <c r="AZ327" s="40"/>
      <c r="BA327" s="40"/>
    </row>
    <row r="328" spans="1:53" ht="15.75" customHeight="1" x14ac:dyDescent="0.2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39"/>
      <c r="AW328" s="39"/>
      <c r="AX328" s="26"/>
      <c r="AY328" s="26"/>
      <c r="AZ328" s="45"/>
      <c r="BA328" s="45"/>
    </row>
    <row r="329" spans="1:53" ht="15.75" customHeight="1" x14ac:dyDescent="0.2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39"/>
      <c r="AW329" s="39"/>
      <c r="AX329" s="26"/>
      <c r="AY329" s="26"/>
      <c r="AZ329" s="40"/>
      <c r="BA329" s="40"/>
    </row>
    <row r="330" spans="1:53" ht="15.75" customHeight="1" x14ac:dyDescent="0.2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39"/>
      <c r="AW330" s="39"/>
      <c r="AX330" s="26"/>
      <c r="AY330" s="26"/>
      <c r="AZ330" s="45"/>
      <c r="BA330" s="45"/>
    </row>
    <row r="331" spans="1:53" ht="15.75" customHeight="1" x14ac:dyDescent="0.2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39"/>
      <c r="AW331" s="39"/>
      <c r="AX331" s="26"/>
      <c r="AY331" s="26"/>
      <c r="AZ331" s="40"/>
      <c r="BA331" s="40"/>
    </row>
    <row r="332" spans="1:53" ht="15.75" customHeight="1" x14ac:dyDescent="0.2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39"/>
      <c r="AW332" s="39"/>
      <c r="AX332" s="26"/>
      <c r="AY332" s="26"/>
      <c r="AZ332" s="45"/>
      <c r="BA332" s="45"/>
    </row>
    <row r="333" spans="1:53" ht="15.75" customHeight="1" x14ac:dyDescent="0.2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39"/>
      <c r="AW333" s="39"/>
      <c r="AX333" s="26"/>
      <c r="AY333" s="26"/>
      <c r="AZ333" s="40"/>
      <c r="BA333" s="40"/>
    </row>
    <row r="334" spans="1:53" ht="15.75" customHeight="1" x14ac:dyDescent="0.2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39"/>
      <c r="AW334" s="39"/>
      <c r="AX334" s="26"/>
      <c r="AY334" s="26"/>
      <c r="AZ334" s="45"/>
      <c r="BA334" s="45"/>
    </row>
    <row r="335" spans="1:53" ht="15.75" customHeight="1" x14ac:dyDescent="0.2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39"/>
      <c r="AW335" s="39"/>
      <c r="AX335" s="26"/>
      <c r="AY335" s="26"/>
      <c r="AZ335" s="40"/>
      <c r="BA335" s="40"/>
    </row>
    <row r="336" spans="1:53" ht="15.75" customHeight="1" x14ac:dyDescent="0.2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39"/>
      <c r="AW336" s="39"/>
      <c r="AX336" s="26"/>
      <c r="AY336" s="26"/>
      <c r="AZ336" s="45"/>
      <c r="BA336" s="45"/>
    </row>
    <row r="337" spans="1:53" ht="15.75" customHeight="1" x14ac:dyDescent="0.2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39"/>
      <c r="AW337" s="39"/>
      <c r="AX337" s="26"/>
      <c r="AY337" s="26"/>
      <c r="AZ337" s="40"/>
      <c r="BA337" s="40"/>
    </row>
    <row r="338" spans="1:53" ht="15.75" customHeight="1" x14ac:dyDescent="0.2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39"/>
      <c r="AW338" s="39"/>
      <c r="AX338" s="26"/>
      <c r="AY338" s="26"/>
      <c r="AZ338" s="45"/>
      <c r="BA338" s="45"/>
    </row>
    <row r="339" spans="1:53" ht="15.75" customHeight="1" x14ac:dyDescent="0.2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39"/>
      <c r="AW339" s="39"/>
      <c r="AX339" s="26"/>
      <c r="AY339" s="26"/>
      <c r="AZ339" s="40"/>
      <c r="BA339" s="40"/>
    </row>
    <row r="340" spans="1:53" ht="15.75" customHeight="1" x14ac:dyDescent="0.2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39"/>
      <c r="AW340" s="39"/>
      <c r="AX340" s="26"/>
      <c r="AY340" s="26"/>
      <c r="AZ340" s="45"/>
      <c r="BA340" s="45"/>
    </row>
    <row r="341" spans="1:53" ht="15.75" customHeight="1" x14ac:dyDescent="0.2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39"/>
      <c r="AW341" s="39"/>
      <c r="AX341" s="26"/>
      <c r="AY341" s="26"/>
      <c r="AZ341" s="40"/>
      <c r="BA341" s="40"/>
    </row>
    <row r="342" spans="1:53" ht="15.75" customHeight="1" x14ac:dyDescent="0.2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39"/>
      <c r="AW342" s="39"/>
      <c r="AX342" s="26"/>
      <c r="AY342" s="26"/>
      <c r="AZ342" s="45"/>
      <c r="BA342" s="45"/>
    </row>
    <row r="343" spans="1:53" ht="15.75" customHeight="1" x14ac:dyDescent="0.2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39"/>
      <c r="AW343" s="39"/>
      <c r="AX343" s="26"/>
      <c r="AY343" s="26"/>
      <c r="AZ343" s="40"/>
      <c r="BA343" s="40"/>
    </row>
    <row r="344" spans="1:53" ht="15.75" customHeight="1" x14ac:dyDescent="0.2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39"/>
      <c r="AW344" s="39"/>
      <c r="AX344" s="26"/>
      <c r="AY344" s="26"/>
      <c r="AZ344" s="45"/>
      <c r="BA344" s="45"/>
    </row>
    <row r="345" spans="1:53" ht="15.75" customHeight="1" x14ac:dyDescent="0.2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39"/>
      <c r="AW345" s="39"/>
      <c r="AX345" s="26"/>
      <c r="AY345" s="26"/>
      <c r="AZ345" s="40"/>
      <c r="BA345" s="40"/>
    </row>
    <row r="346" spans="1:53" ht="15.75" customHeight="1" x14ac:dyDescent="0.2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39"/>
      <c r="AW346" s="39"/>
      <c r="AX346" s="26"/>
      <c r="AY346" s="26"/>
      <c r="AZ346" s="45"/>
      <c r="BA346" s="45"/>
    </row>
    <row r="347" spans="1:53" ht="15.75" customHeight="1" x14ac:dyDescent="0.2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39"/>
      <c r="AW347" s="39"/>
      <c r="AX347" s="26"/>
      <c r="AY347" s="26"/>
      <c r="AZ347" s="40"/>
      <c r="BA347" s="40"/>
    </row>
    <row r="348" spans="1:53" ht="15.75" customHeight="1" x14ac:dyDescent="0.2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39"/>
      <c r="AW348" s="39"/>
      <c r="AX348" s="26"/>
      <c r="AY348" s="26"/>
      <c r="AZ348" s="45"/>
      <c r="BA348" s="45"/>
    </row>
    <row r="349" spans="1:53" ht="15.75" customHeight="1" x14ac:dyDescent="0.2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39"/>
      <c r="AW349" s="39"/>
      <c r="AX349" s="26"/>
      <c r="AY349" s="26"/>
      <c r="AZ349" s="40"/>
      <c r="BA349" s="40"/>
    </row>
    <row r="350" spans="1:53" ht="15.75" customHeight="1" x14ac:dyDescent="0.2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39"/>
      <c r="AW350" s="39"/>
      <c r="AX350" s="26"/>
      <c r="AY350" s="26"/>
      <c r="AZ350" s="45"/>
      <c r="BA350" s="45"/>
    </row>
    <row r="351" spans="1:53" ht="15.75" customHeight="1" x14ac:dyDescent="0.2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39"/>
      <c r="AW351" s="39"/>
      <c r="AX351" s="26"/>
      <c r="AY351" s="26"/>
      <c r="AZ351" s="40"/>
      <c r="BA351" s="40"/>
    </row>
    <row r="352" spans="1:53" ht="15.75" customHeight="1" x14ac:dyDescent="0.2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39"/>
      <c r="AW352" s="39"/>
      <c r="AX352" s="26"/>
      <c r="AY352" s="26"/>
      <c r="AZ352" s="45"/>
      <c r="BA352" s="45"/>
    </row>
    <row r="353" spans="1:53" ht="15.75" customHeight="1" x14ac:dyDescent="0.2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39"/>
      <c r="AW353" s="39"/>
      <c r="AX353" s="26"/>
      <c r="AY353" s="26"/>
      <c r="AZ353" s="40"/>
      <c r="BA353" s="40"/>
    </row>
    <row r="354" spans="1:53" ht="15.75" customHeight="1" x14ac:dyDescent="0.2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39"/>
      <c r="AW354" s="39"/>
      <c r="AX354" s="26"/>
      <c r="AY354" s="26"/>
      <c r="AZ354" s="45"/>
      <c r="BA354" s="45"/>
    </row>
    <row r="355" spans="1:53" ht="15.75" customHeight="1" x14ac:dyDescent="0.2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39"/>
      <c r="AW355" s="39"/>
      <c r="AX355" s="26"/>
      <c r="AY355" s="26"/>
      <c r="AZ355" s="40"/>
      <c r="BA355" s="40"/>
    </row>
    <row r="356" spans="1:53" ht="15.75" customHeight="1" x14ac:dyDescent="0.2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39"/>
      <c r="AW356" s="39"/>
      <c r="AX356" s="26"/>
      <c r="AY356" s="26"/>
      <c r="AZ356" s="45"/>
      <c r="BA356" s="45"/>
    </row>
    <row r="357" spans="1:53" ht="15.75" customHeight="1" x14ac:dyDescent="0.2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39"/>
      <c r="AW357" s="39"/>
      <c r="AX357" s="26"/>
      <c r="AY357" s="26"/>
      <c r="AZ357" s="40"/>
      <c r="BA357" s="40"/>
    </row>
    <row r="358" spans="1:53" ht="15.75" customHeight="1" x14ac:dyDescent="0.2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39"/>
      <c r="AW358" s="39"/>
      <c r="AX358" s="26"/>
      <c r="AY358" s="26"/>
      <c r="AZ358" s="45"/>
      <c r="BA358" s="45"/>
    </row>
    <row r="359" spans="1:53" ht="15.75" customHeight="1" x14ac:dyDescent="0.2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39"/>
      <c r="AW359" s="39"/>
      <c r="AX359" s="26"/>
      <c r="AY359" s="26"/>
      <c r="AZ359" s="40"/>
      <c r="BA359" s="40"/>
    </row>
    <row r="360" spans="1:53" ht="15.75" customHeight="1" x14ac:dyDescent="0.2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39"/>
      <c r="AW360" s="39"/>
      <c r="AX360" s="26"/>
      <c r="AY360" s="26"/>
      <c r="AZ360" s="45"/>
      <c r="BA360" s="45"/>
    </row>
    <row r="361" spans="1:53" ht="15.75" customHeight="1" x14ac:dyDescent="0.2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39"/>
      <c r="AW361" s="39"/>
      <c r="AX361" s="26"/>
      <c r="AY361" s="26"/>
      <c r="AZ361" s="40"/>
      <c r="BA361" s="40"/>
    </row>
    <row r="362" spans="1:53" ht="15.75" customHeight="1" x14ac:dyDescent="0.2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39"/>
      <c r="AW362" s="39"/>
      <c r="AX362" s="26"/>
      <c r="AY362" s="26"/>
      <c r="AZ362" s="45"/>
      <c r="BA362" s="45"/>
    </row>
    <row r="363" spans="1:53" ht="15.75" customHeight="1" x14ac:dyDescent="0.2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39"/>
      <c r="AW363" s="39"/>
      <c r="AX363" s="26"/>
      <c r="AY363" s="26"/>
      <c r="AZ363" s="40"/>
      <c r="BA363" s="40"/>
    </row>
    <row r="364" spans="1:53" ht="15.75" customHeight="1" x14ac:dyDescent="0.2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39"/>
      <c r="AW364" s="39"/>
      <c r="AX364" s="26"/>
      <c r="AY364" s="26"/>
      <c r="AZ364" s="45"/>
      <c r="BA364" s="45"/>
    </row>
    <row r="365" spans="1:53" ht="15.75" customHeight="1" x14ac:dyDescent="0.2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39"/>
      <c r="AW365" s="39"/>
      <c r="AX365" s="26"/>
      <c r="AY365" s="26"/>
      <c r="AZ365" s="40"/>
      <c r="BA365" s="40"/>
    </row>
    <row r="366" spans="1:53" ht="15.75" customHeight="1" x14ac:dyDescent="0.2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39"/>
      <c r="AW366" s="39"/>
      <c r="AX366" s="26"/>
      <c r="AY366" s="26"/>
      <c r="AZ366" s="45"/>
      <c r="BA366" s="45"/>
    </row>
    <row r="367" spans="1:53" ht="15.75" customHeight="1" x14ac:dyDescent="0.2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39"/>
      <c r="AW367" s="39"/>
      <c r="AX367" s="26"/>
      <c r="AY367" s="26"/>
      <c r="AZ367" s="40"/>
      <c r="BA367" s="40"/>
    </row>
    <row r="368" spans="1:53" ht="15.75" customHeight="1" x14ac:dyDescent="0.2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39"/>
      <c r="AW368" s="39"/>
      <c r="AX368" s="26"/>
      <c r="AY368" s="26"/>
      <c r="AZ368" s="45"/>
      <c r="BA368" s="45"/>
    </row>
    <row r="369" spans="1:53" ht="15.75" customHeight="1" x14ac:dyDescent="0.2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39"/>
      <c r="AW369" s="39"/>
      <c r="AX369" s="26"/>
      <c r="AY369" s="26"/>
      <c r="AZ369" s="40"/>
      <c r="BA369" s="40"/>
    </row>
    <row r="370" spans="1:53" ht="15.75" customHeight="1" x14ac:dyDescent="0.2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39"/>
      <c r="AW370" s="39"/>
      <c r="AX370" s="26"/>
      <c r="AY370" s="26"/>
      <c r="AZ370" s="45"/>
      <c r="BA370" s="45"/>
    </row>
    <row r="371" spans="1:53" ht="15.75" customHeight="1" x14ac:dyDescent="0.2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39"/>
      <c r="AW371" s="39"/>
      <c r="AX371" s="26"/>
      <c r="AY371" s="26"/>
      <c r="AZ371" s="40"/>
      <c r="BA371" s="40"/>
    </row>
    <row r="372" spans="1:53" ht="15.75" customHeight="1" x14ac:dyDescent="0.2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39"/>
      <c r="AW372" s="39"/>
      <c r="AX372" s="26"/>
      <c r="AY372" s="26"/>
      <c r="AZ372" s="45"/>
      <c r="BA372" s="45"/>
    </row>
    <row r="373" spans="1:53" ht="15.75" customHeight="1" x14ac:dyDescent="0.2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39"/>
      <c r="AW373" s="39"/>
      <c r="AX373" s="26"/>
      <c r="AY373" s="26"/>
      <c r="AZ373" s="40"/>
      <c r="BA373" s="40"/>
    </row>
    <row r="374" spans="1:53" ht="15.75" customHeight="1" x14ac:dyDescent="0.2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39"/>
      <c r="AW374" s="39"/>
      <c r="AX374" s="26"/>
      <c r="AY374" s="26"/>
      <c r="AZ374" s="45"/>
      <c r="BA374" s="45"/>
    </row>
    <row r="375" spans="1:53" ht="15.75" customHeight="1" x14ac:dyDescent="0.2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39"/>
      <c r="AW375" s="39"/>
      <c r="AX375" s="26"/>
      <c r="AY375" s="26"/>
      <c r="AZ375" s="40"/>
      <c r="BA375" s="40"/>
    </row>
    <row r="376" spans="1:53" ht="15.75" customHeight="1" x14ac:dyDescent="0.2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39"/>
      <c r="AW376" s="39"/>
      <c r="AX376" s="26"/>
      <c r="AY376" s="26"/>
      <c r="AZ376" s="45"/>
      <c r="BA376" s="45"/>
    </row>
    <row r="377" spans="1:53" ht="15.75" customHeight="1" x14ac:dyDescent="0.2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39"/>
      <c r="AW377" s="39"/>
      <c r="AX377" s="26"/>
      <c r="AY377" s="26"/>
      <c r="AZ377" s="40"/>
      <c r="BA377" s="40"/>
    </row>
    <row r="378" spans="1:53" ht="15.75" customHeight="1" x14ac:dyDescent="0.2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39"/>
      <c r="AW378" s="39"/>
      <c r="AX378" s="26"/>
      <c r="AY378" s="26"/>
      <c r="AZ378" s="45"/>
      <c r="BA378" s="45"/>
    </row>
    <row r="379" spans="1:53" ht="15.75" customHeight="1" x14ac:dyDescent="0.2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39"/>
      <c r="AW379" s="39"/>
      <c r="AX379" s="26"/>
      <c r="AY379" s="26"/>
      <c r="AZ379" s="40"/>
      <c r="BA379" s="40"/>
    </row>
    <row r="380" spans="1:53" ht="15.75" customHeight="1" x14ac:dyDescent="0.2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39"/>
      <c r="AW380" s="39"/>
      <c r="AX380" s="26"/>
      <c r="AY380" s="26"/>
      <c r="AZ380" s="45"/>
      <c r="BA380" s="45"/>
    </row>
    <row r="381" spans="1:53" ht="15.75" customHeight="1" x14ac:dyDescent="0.2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39"/>
      <c r="AW381" s="39"/>
      <c r="AX381" s="26"/>
      <c r="AY381" s="26"/>
      <c r="AZ381" s="40"/>
      <c r="BA381" s="40"/>
    </row>
    <row r="382" spans="1:53" ht="15.75" customHeight="1" x14ac:dyDescent="0.2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39"/>
      <c r="AW382" s="39"/>
      <c r="AX382" s="26"/>
      <c r="AY382" s="26"/>
      <c r="AZ382" s="45"/>
      <c r="BA382" s="45"/>
    </row>
    <row r="383" spans="1:53" ht="15.75" customHeight="1" x14ac:dyDescent="0.2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39"/>
      <c r="AW383" s="39"/>
      <c r="AX383" s="26"/>
      <c r="AY383" s="26"/>
      <c r="AZ383" s="40"/>
      <c r="BA383" s="40"/>
    </row>
    <row r="384" spans="1:53" ht="15.75" customHeight="1" x14ac:dyDescent="0.2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39"/>
      <c r="AW384" s="39"/>
      <c r="AX384" s="26"/>
      <c r="AY384" s="26"/>
      <c r="AZ384" s="45"/>
      <c r="BA384" s="45"/>
    </row>
    <row r="385" spans="1:53" ht="15.75" customHeight="1" x14ac:dyDescent="0.2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39"/>
      <c r="AW385" s="39"/>
      <c r="AX385" s="26"/>
      <c r="AY385" s="26"/>
      <c r="AZ385" s="40"/>
      <c r="BA385" s="40"/>
    </row>
    <row r="386" spans="1:53" ht="15.75" customHeight="1" x14ac:dyDescent="0.2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39"/>
      <c r="AW386" s="39"/>
      <c r="AX386" s="26"/>
      <c r="AY386" s="26"/>
      <c r="AZ386" s="45"/>
      <c r="BA386" s="45"/>
    </row>
    <row r="387" spans="1:53" ht="15.75" customHeight="1" x14ac:dyDescent="0.2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39"/>
      <c r="AW387" s="39"/>
      <c r="AX387" s="26"/>
      <c r="AY387" s="26"/>
      <c r="AZ387" s="40"/>
      <c r="BA387" s="40"/>
    </row>
    <row r="388" spans="1:53" ht="15.75" customHeight="1" x14ac:dyDescent="0.2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39"/>
      <c r="AW388" s="39"/>
      <c r="AX388" s="26"/>
      <c r="AY388" s="26"/>
      <c r="AZ388" s="45"/>
      <c r="BA388" s="45"/>
    </row>
    <row r="389" spans="1:53" ht="15.75" customHeight="1" x14ac:dyDescent="0.2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39"/>
      <c r="AW389" s="39"/>
      <c r="AX389" s="26"/>
      <c r="AY389" s="26"/>
      <c r="AZ389" s="40"/>
      <c r="BA389" s="40"/>
    </row>
    <row r="390" spans="1:53" ht="15.75" customHeight="1" x14ac:dyDescent="0.2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39"/>
      <c r="AW390" s="39"/>
      <c r="AX390" s="26"/>
      <c r="AY390" s="26"/>
      <c r="AZ390" s="45"/>
      <c r="BA390" s="45"/>
    </row>
    <row r="391" spans="1:53" ht="15.75" customHeight="1" x14ac:dyDescent="0.2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39"/>
      <c r="AW391" s="39"/>
      <c r="AX391" s="26"/>
      <c r="AY391" s="26"/>
      <c r="AZ391" s="40"/>
      <c r="BA391" s="40"/>
    </row>
    <row r="392" spans="1:53" ht="15.75" customHeight="1" x14ac:dyDescent="0.2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39"/>
      <c r="AW392" s="39"/>
      <c r="AX392" s="26"/>
      <c r="AY392" s="26"/>
      <c r="AZ392" s="45"/>
      <c r="BA392" s="45"/>
    </row>
    <row r="393" spans="1:53" ht="15.75" customHeight="1" x14ac:dyDescent="0.2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39"/>
      <c r="AW393" s="39"/>
      <c r="AX393" s="26"/>
      <c r="AY393" s="26"/>
      <c r="AZ393" s="40"/>
      <c r="BA393" s="40"/>
    </row>
    <row r="394" spans="1:53" ht="15.75" customHeight="1" x14ac:dyDescent="0.2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39"/>
      <c r="AW394" s="39"/>
      <c r="AX394" s="26"/>
      <c r="AY394" s="26"/>
      <c r="AZ394" s="45"/>
      <c r="BA394" s="45"/>
    </row>
    <row r="395" spans="1:53" ht="15.75" customHeight="1" x14ac:dyDescent="0.2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39"/>
      <c r="AW395" s="39"/>
      <c r="AX395" s="26"/>
      <c r="AY395" s="26"/>
      <c r="AZ395" s="40"/>
      <c r="BA395" s="40"/>
    </row>
    <row r="396" spans="1:53" ht="15.75" customHeight="1" x14ac:dyDescent="0.2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39"/>
      <c r="AW396" s="39"/>
      <c r="AX396" s="26"/>
      <c r="AY396" s="26"/>
      <c r="AZ396" s="45"/>
      <c r="BA396" s="45"/>
    </row>
    <row r="397" spans="1:53" ht="15.75" customHeight="1" x14ac:dyDescent="0.2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39"/>
      <c r="AW397" s="39"/>
      <c r="AX397" s="26"/>
      <c r="AY397" s="26"/>
      <c r="AZ397" s="40"/>
      <c r="BA397" s="40"/>
    </row>
    <row r="398" spans="1:53" ht="15.75" customHeight="1" x14ac:dyDescent="0.2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39"/>
      <c r="AW398" s="39"/>
      <c r="AX398" s="26"/>
      <c r="AY398" s="26"/>
      <c r="AZ398" s="45"/>
      <c r="BA398" s="45"/>
    </row>
    <row r="399" spans="1:53" ht="15.75" customHeight="1" x14ac:dyDescent="0.2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39"/>
      <c r="AW399" s="39"/>
      <c r="AX399" s="26"/>
      <c r="AY399" s="26"/>
      <c r="AZ399" s="40"/>
      <c r="BA399" s="40"/>
    </row>
    <row r="400" spans="1:53" ht="15.75" customHeight="1" x14ac:dyDescent="0.2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39"/>
      <c r="AW400" s="39"/>
      <c r="AX400" s="26"/>
      <c r="AY400" s="26"/>
      <c r="AZ400" s="45"/>
      <c r="BA400" s="45"/>
    </row>
    <row r="401" spans="1:53" ht="15.75" customHeight="1" x14ac:dyDescent="0.2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39"/>
      <c r="AW401" s="39"/>
      <c r="AX401" s="26"/>
      <c r="AY401" s="26"/>
      <c r="AZ401" s="40"/>
      <c r="BA401" s="40"/>
    </row>
    <row r="402" spans="1:53" ht="15.75" customHeight="1" x14ac:dyDescent="0.2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39"/>
      <c r="AW402" s="39"/>
      <c r="AX402" s="26"/>
      <c r="AY402" s="26"/>
      <c r="AZ402" s="45"/>
      <c r="BA402" s="45"/>
    </row>
    <row r="403" spans="1:53" ht="15.75" customHeight="1" x14ac:dyDescent="0.2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39"/>
      <c r="AW403" s="39"/>
      <c r="AX403" s="26"/>
      <c r="AY403" s="26"/>
      <c r="AZ403" s="40"/>
      <c r="BA403" s="40"/>
    </row>
    <row r="404" spans="1:53" ht="15.75" customHeight="1" x14ac:dyDescent="0.2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39"/>
      <c r="AW404" s="39"/>
      <c r="AX404" s="26"/>
      <c r="AY404" s="26"/>
      <c r="AZ404" s="45"/>
      <c r="BA404" s="45"/>
    </row>
    <row r="405" spans="1:53" ht="15.75" customHeight="1" x14ac:dyDescent="0.2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39"/>
      <c r="AW405" s="39"/>
      <c r="AX405" s="26"/>
      <c r="AY405" s="26"/>
      <c r="AZ405" s="40"/>
      <c r="BA405" s="40"/>
    </row>
    <row r="406" spans="1:53" ht="15.75" customHeight="1" x14ac:dyDescent="0.2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39"/>
      <c r="AW406" s="39"/>
      <c r="AX406" s="26"/>
      <c r="AY406" s="26"/>
      <c r="AZ406" s="45"/>
      <c r="BA406" s="45"/>
    </row>
    <row r="407" spans="1:53" ht="15.75" customHeight="1" x14ac:dyDescent="0.2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39"/>
      <c r="AW407" s="39"/>
      <c r="AX407" s="26"/>
      <c r="AY407" s="26"/>
      <c r="AZ407" s="40"/>
      <c r="BA407" s="40"/>
    </row>
    <row r="408" spans="1:53" ht="15.75" customHeight="1" x14ac:dyDescent="0.2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39"/>
      <c r="AW408" s="39"/>
      <c r="AX408" s="26"/>
      <c r="AY408" s="26"/>
      <c r="AZ408" s="45"/>
      <c r="BA408" s="45"/>
    </row>
    <row r="409" spans="1:53" ht="15.75" customHeight="1" x14ac:dyDescent="0.2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39"/>
      <c r="AW409" s="39"/>
      <c r="AX409" s="26"/>
      <c r="AY409" s="26"/>
      <c r="AZ409" s="40"/>
      <c r="BA409" s="40"/>
    </row>
    <row r="410" spans="1:53" ht="15.75" customHeight="1" x14ac:dyDescent="0.2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39"/>
      <c r="AW410" s="39"/>
      <c r="AX410" s="26"/>
      <c r="AY410" s="26"/>
      <c r="AZ410" s="45"/>
      <c r="BA410" s="45"/>
    </row>
    <row r="411" spans="1:53" ht="15.75" customHeight="1" x14ac:dyDescent="0.2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39"/>
      <c r="AW411" s="39"/>
      <c r="AX411" s="26"/>
      <c r="AY411" s="26"/>
      <c r="AZ411" s="40"/>
      <c r="BA411" s="40"/>
    </row>
    <row r="412" spans="1:53" ht="15.75" customHeight="1" x14ac:dyDescent="0.2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39"/>
      <c r="AW412" s="39"/>
      <c r="AX412" s="26"/>
      <c r="AY412" s="26"/>
      <c r="AZ412" s="45"/>
      <c r="BA412" s="45"/>
    </row>
    <row r="413" spans="1:53" ht="15.75" customHeight="1" x14ac:dyDescent="0.2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39"/>
      <c r="AW413" s="39"/>
      <c r="AX413" s="26"/>
      <c r="AY413" s="26"/>
      <c r="AZ413" s="40"/>
      <c r="BA413" s="40"/>
    </row>
    <row r="414" spans="1:53" ht="15.75" customHeight="1" x14ac:dyDescent="0.2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39"/>
      <c r="AW414" s="39"/>
      <c r="AX414" s="26"/>
      <c r="AY414" s="26"/>
      <c r="AZ414" s="45"/>
      <c r="BA414" s="45"/>
    </row>
    <row r="415" spans="1:53" ht="15.75" customHeight="1" x14ac:dyDescent="0.2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39"/>
      <c r="AW415" s="39"/>
      <c r="AX415" s="26"/>
      <c r="AY415" s="26"/>
      <c r="AZ415" s="40"/>
      <c r="BA415" s="40"/>
    </row>
    <row r="416" spans="1:53" ht="15.75" customHeight="1" x14ac:dyDescent="0.2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39"/>
      <c r="AW416" s="39"/>
      <c r="AX416" s="26"/>
      <c r="AY416" s="26"/>
      <c r="AZ416" s="45"/>
      <c r="BA416" s="45"/>
    </row>
    <row r="417" spans="1:53" ht="15.75" customHeight="1" x14ac:dyDescent="0.2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39"/>
      <c r="AW417" s="39"/>
      <c r="AX417" s="26"/>
      <c r="AY417" s="26"/>
      <c r="AZ417" s="40"/>
      <c r="BA417" s="40"/>
    </row>
    <row r="418" spans="1:53" ht="15.75" customHeight="1" x14ac:dyDescent="0.2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39"/>
      <c r="AW418" s="39"/>
      <c r="AX418" s="26"/>
      <c r="AY418" s="26"/>
      <c r="AZ418" s="45"/>
      <c r="BA418" s="45"/>
    </row>
    <row r="419" spans="1:53" ht="15.75" customHeight="1" x14ac:dyDescent="0.25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39"/>
      <c r="AW419" s="39"/>
      <c r="AX419" s="26"/>
      <c r="AY419" s="26"/>
      <c r="AZ419" s="40"/>
      <c r="BA419" s="40"/>
    </row>
    <row r="420" spans="1:53" ht="15.75" customHeight="1" x14ac:dyDescent="0.25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39"/>
      <c r="AW420" s="39"/>
      <c r="AX420" s="26"/>
      <c r="AY420" s="26"/>
      <c r="AZ420" s="45"/>
      <c r="BA420" s="45"/>
    </row>
    <row r="421" spans="1:53" ht="15.75" customHeight="1" x14ac:dyDescent="0.25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39"/>
      <c r="AW421" s="39"/>
      <c r="AX421" s="26"/>
      <c r="AY421" s="26"/>
      <c r="AZ421" s="40"/>
      <c r="BA421" s="40"/>
    </row>
    <row r="422" spans="1:53" ht="15.75" customHeight="1" x14ac:dyDescent="0.25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39"/>
      <c r="AW422" s="39"/>
      <c r="AX422" s="26"/>
      <c r="AY422" s="26"/>
      <c r="AZ422" s="45"/>
      <c r="BA422" s="45"/>
    </row>
    <row r="423" spans="1:53" ht="15.75" customHeight="1" x14ac:dyDescent="0.25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39"/>
      <c r="AW423" s="39"/>
      <c r="AX423" s="26"/>
      <c r="AY423" s="26"/>
      <c r="AZ423" s="40"/>
      <c r="BA423" s="40"/>
    </row>
    <row r="424" spans="1:53" ht="15.75" customHeight="1" x14ac:dyDescent="0.25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39"/>
      <c r="AW424" s="39"/>
      <c r="AX424" s="26"/>
      <c r="AY424" s="26"/>
      <c r="AZ424" s="45"/>
      <c r="BA424" s="45"/>
    </row>
    <row r="425" spans="1:53" ht="15.75" customHeight="1" x14ac:dyDescent="0.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39"/>
      <c r="AW425" s="39"/>
      <c r="AX425" s="26"/>
      <c r="AY425" s="26"/>
      <c r="AZ425" s="40"/>
      <c r="BA425" s="40"/>
    </row>
    <row r="426" spans="1:53" ht="15.75" customHeight="1" x14ac:dyDescent="0.25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39"/>
      <c r="AW426" s="39"/>
      <c r="AX426" s="26"/>
      <c r="AY426" s="26"/>
      <c r="AZ426" s="45"/>
      <c r="BA426" s="45"/>
    </row>
    <row r="427" spans="1:53" ht="15.75" customHeight="1" x14ac:dyDescent="0.25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39"/>
      <c r="AW427" s="39"/>
      <c r="AX427" s="26"/>
      <c r="AY427" s="26"/>
      <c r="AZ427" s="40"/>
      <c r="BA427" s="40"/>
    </row>
    <row r="428" spans="1:53" ht="15.75" customHeight="1" x14ac:dyDescent="0.25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39"/>
      <c r="AW428" s="39"/>
      <c r="AX428" s="26"/>
      <c r="AY428" s="26"/>
      <c r="AZ428" s="45"/>
      <c r="BA428" s="45"/>
    </row>
    <row r="429" spans="1:53" ht="15.75" customHeight="1" x14ac:dyDescent="0.25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39"/>
      <c r="AW429" s="39"/>
      <c r="AX429" s="26"/>
      <c r="AY429" s="26"/>
      <c r="AZ429" s="40"/>
      <c r="BA429" s="40"/>
    </row>
    <row r="430" spans="1:53" ht="15.75" customHeight="1" x14ac:dyDescent="0.25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39"/>
      <c r="AW430" s="39"/>
      <c r="AX430" s="26"/>
      <c r="AY430" s="26"/>
      <c r="AZ430" s="45"/>
      <c r="BA430" s="45"/>
    </row>
    <row r="431" spans="1:53" ht="15.75" customHeight="1" x14ac:dyDescent="0.25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39"/>
      <c r="AW431" s="39"/>
      <c r="AX431" s="26"/>
      <c r="AY431" s="26"/>
      <c r="AZ431" s="40"/>
      <c r="BA431" s="40"/>
    </row>
    <row r="432" spans="1:53" ht="15.75" customHeight="1" x14ac:dyDescent="0.25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39"/>
      <c r="AW432" s="39"/>
      <c r="AX432" s="26"/>
      <c r="AY432" s="26"/>
      <c r="AZ432" s="45"/>
      <c r="BA432" s="45"/>
    </row>
    <row r="433" spans="1:53" ht="15.75" customHeight="1" x14ac:dyDescent="0.25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39"/>
      <c r="AW433" s="39"/>
      <c r="AX433" s="26"/>
      <c r="AY433" s="26"/>
      <c r="AZ433" s="40"/>
      <c r="BA433" s="40"/>
    </row>
    <row r="434" spans="1:53" ht="15.75" customHeight="1" x14ac:dyDescent="0.25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39"/>
      <c r="AW434" s="39"/>
      <c r="AX434" s="26"/>
      <c r="AY434" s="26"/>
      <c r="AZ434" s="45"/>
      <c r="BA434" s="45"/>
    </row>
    <row r="435" spans="1:53" ht="15.75" customHeight="1" x14ac:dyDescent="0.2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39"/>
      <c r="AW435" s="39"/>
      <c r="AX435" s="26"/>
      <c r="AY435" s="26"/>
      <c r="AZ435" s="40"/>
      <c r="BA435" s="40"/>
    </row>
    <row r="436" spans="1:53" ht="15.75" customHeight="1" x14ac:dyDescent="0.25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39"/>
      <c r="AW436" s="39"/>
      <c r="AX436" s="26"/>
      <c r="AY436" s="26"/>
      <c r="AZ436" s="45"/>
      <c r="BA436" s="45"/>
    </row>
    <row r="437" spans="1:53" ht="15.75" customHeight="1" x14ac:dyDescent="0.25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39"/>
      <c r="AW437" s="39"/>
      <c r="AX437" s="26"/>
      <c r="AY437" s="26"/>
      <c r="AZ437" s="40"/>
      <c r="BA437" s="40"/>
    </row>
    <row r="438" spans="1:53" ht="15.75" customHeight="1" x14ac:dyDescent="0.25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39"/>
      <c r="AW438" s="39"/>
      <c r="AX438" s="26"/>
      <c r="AY438" s="26"/>
      <c r="AZ438" s="45"/>
      <c r="BA438" s="45"/>
    </row>
    <row r="439" spans="1:53" ht="15.75" customHeight="1" x14ac:dyDescent="0.25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39"/>
      <c r="AW439" s="39"/>
      <c r="AX439" s="26"/>
      <c r="AY439" s="26"/>
      <c r="AZ439" s="40"/>
      <c r="BA439" s="40"/>
    </row>
    <row r="440" spans="1:53" ht="15.75" customHeight="1" x14ac:dyDescent="0.25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39"/>
      <c r="AW440" s="39"/>
      <c r="AX440" s="26"/>
      <c r="AY440" s="26"/>
      <c r="AZ440" s="45"/>
      <c r="BA440" s="45"/>
    </row>
    <row r="441" spans="1:53" ht="15.75" customHeight="1" x14ac:dyDescent="0.25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39"/>
      <c r="AW441" s="39"/>
      <c r="AX441" s="26"/>
      <c r="AY441" s="26"/>
      <c r="AZ441" s="40"/>
      <c r="BA441" s="40"/>
    </row>
    <row r="442" spans="1:53" ht="15.75" customHeight="1" x14ac:dyDescent="0.25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39"/>
      <c r="AW442" s="39"/>
      <c r="AX442" s="26"/>
      <c r="AY442" s="26"/>
      <c r="AZ442" s="45"/>
      <c r="BA442" s="45"/>
    </row>
    <row r="443" spans="1:53" ht="15.75" customHeight="1" x14ac:dyDescent="0.25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39"/>
      <c r="AW443" s="39"/>
      <c r="AX443" s="26"/>
      <c r="AY443" s="26"/>
      <c r="AZ443" s="40"/>
      <c r="BA443" s="40"/>
    </row>
    <row r="444" spans="1:53" ht="15.75" customHeight="1" x14ac:dyDescent="0.25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39"/>
      <c r="AW444" s="39"/>
      <c r="AX444" s="26"/>
      <c r="AY444" s="26"/>
      <c r="AZ444" s="45"/>
      <c r="BA444" s="45"/>
    </row>
    <row r="445" spans="1:53" ht="15.75" customHeight="1" x14ac:dyDescent="0.2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39"/>
      <c r="AW445" s="39"/>
      <c r="AX445" s="26"/>
      <c r="AY445" s="26"/>
      <c r="AZ445" s="40"/>
      <c r="BA445" s="40"/>
    </row>
    <row r="446" spans="1:53" ht="15.75" customHeight="1" x14ac:dyDescent="0.25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39"/>
      <c r="AW446" s="39"/>
      <c r="AX446" s="26"/>
      <c r="AY446" s="26"/>
      <c r="AZ446" s="45"/>
      <c r="BA446" s="45"/>
    </row>
    <row r="447" spans="1:53" ht="15.75" customHeight="1" x14ac:dyDescent="0.25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39"/>
      <c r="AW447" s="39"/>
      <c r="AX447" s="26"/>
      <c r="AY447" s="26"/>
      <c r="AZ447" s="40"/>
      <c r="BA447" s="40"/>
    </row>
    <row r="448" spans="1:53" ht="15.75" customHeight="1" x14ac:dyDescent="0.25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39"/>
      <c r="AW448" s="39"/>
      <c r="AX448" s="26"/>
      <c r="AY448" s="26"/>
      <c r="AZ448" s="45"/>
      <c r="BA448" s="45"/>
    </row>
    <row r="449" spans="1:53" ht="15.75" customHeight="1" x14ac:dyDescent="0.25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39"/>
      <c r="AW449" s="39"/>
      <c r="AX449" s="26"/>
      <c r="AY449" s="26"/>
      <c r="AZ449" s="40"/>
      <c r="BA449" s="40"/>
    </row>
    <row r="450" spans="1:53" ht="15.75" customHeight="1" x14ac:dyDescent="0.25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39"/>
      <c r="AW450" s="39"/>
      <c r="AX450" s="26"/>
      <c r="AY450" s="26"/>
      <c r="AZ450" s="45"/>
      <c r="BA450" s="45"/>
    </row>
    <row r="451" spans="1:53" ht="15.75" customHeight="1" x14ac:dyDescent="0.25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39"/>
      <c r="AW451" s="39"/>
      <c r="AX451" s="26"/>
      <c r="AY451" s="26"/>
      <c r="AZ451" s="40"/>
      <c r="BA451" s="40"/>
    </row>
    <row r="452" spans="1:53" ht="15.75" customHeight="1" x14ac:dyDescent="0.25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39"/>
      <c r="AW452" s="39"/>
      <c r="AX452" s="26"/>
      <c r="AY452" s="26"/>
      <c r="AZ452" s="45"/>
      <c r="BA452" s="45"/>
    </row>
    <row r="453" spans="1:53" ht="15.75" customHeight="1" x14ac:dyDescent="0.25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39"/>
      <c r="AW453" s="39"/>
      <c r="AX453" s="26"/>
      <c r="AY453" s="26"/>
      <c r="AZ453" s="40"/>
      <c r="BA453" s="40"/>
    </row>
    <row r="454" spans="1:53" ht="15.75" customHeight="1" x14ac:dyDescent="0.25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39"/>
      <c r="AW454" s="39"/>
      <c r="AX454" s="26"/>
      <c r="AY454" s="26"/>
      <c r="AZ454" s="45"/>
      <c r="BA454" s="45"/>
    </row>
    <row r="455" spans="1:53" ht="15.75" customHeight="1" x14ac:dyDescent="0.2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39"/>
      <c r="AW455" s="39"/>
      <c r="AX455" s="26"/>
      <c r="AY455" s="26"/>
      <c r="AZ455" s="40"/>
      <c r="BA455" s="40"/>
    </row>
    <row r="456" spans="1:53" ht="15.75" customHeight="1" x14ac:dyDescent="0.25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39"/>
      <c r="AW456" s="39"/>
      <c r="AX456" s="26"/>
      <c r="AY456" s="26"/>
      <c r="AZ456" s="45"/>
      <c r="BA456" s="45"/>
    </row>
    <row r="457" spans="1:53" ht="15.75" customHeight="1" x14ac:dyDescent="0.25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39"/>
      <c r="AW457" s="39"/>
      <c r="AX457" s="26"/>
      <c r="AY457" s="26"/>
      <c r="AZ457" s="40"/>
      <c r="BA457" s="40"/>
    </row>
    <row r="458" spans="1:53" ht="15.75" customHeight="1" x14ac:dyDescent="0.25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39"/>
      <c r="AW458" s="39"/>
      <c r="AX458" s="26"/>
      <c r="AY458" s="26"/>
      <c r="AZ458" s="45"/>
      <c r="BA458" s="45"/>
    </row>
    <row r="459" spans="1:53" ht="15.75" customHeight="1" x14ac:dyDescent="0.25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39"/>
      <c r="AW459" s="39"/>
      <c r="AX459" s="26"/>
      <c r="AY459" s="26"/>
      <c r="AZ459" s="40"/>
      <c r="BA459" s="40"/>
    </row>
    <row r="460" spans="1:53" ht="15.75" customHeight="1" x14ac:dyDescent="0.25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39"/>
      <c r="AW460" s="39"/>
      <c r="AX460" s="26"/>
      <c r="AY460" s="26"/>
      <c r="AZ460" s="45"/>
      <c r="BA460" s="45"/>
    </row>
    <row r="461" spans="1:53" ht="15.75" customHeight="1" x14ac:dyDescent="0.25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39"/>
      <c r="AW461" s="39"/>
      <c r="AX461" s="26"/>
      <c r="AY461" s="26"/>
      <c r="AZ461" s="40"/>
      <c r="BA461" s="40"/>
    </row>
    <row r="462" spans="1:53" ht="15.75" customHeight="1" x14ac:dyDescent="0.25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39"/>
      <c r="AW462" s="39"/>
      <c r="AX462" s="26"/>
      <c r="AY462" s="26"/>
      <c r="AZ462" s="45"/>
      <c r="BA462" s="45"/>
    </row>
    <row r="463" spans="1:53" ht="15.75" customHeight="1" x14ac:dyDescent="0.25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39"/>
      <c r="AW463" s="39"/>
      <c r="AX463" s="26"/>
      <c r="AY463" s="26"/>
      <c r="AZ463" s="40"/>
      <c r="BA463" s="40"/>
    </row>
    <row r="464" spans="1:53" ht="15.75" customHeight="1" x14ac:dyDescent="0.25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39"/>
      <c r="AW464" s="39"/>
      <c r="AX464" s="26"/>
      <c r="AY464" s="26"/>
      <c r="AZ464" s="45"/>
      <c r="BA464" s="45"/>
    </row>
    <row r="465" spans="1:53" ht="15.75" customHeight="1" x14ac:dyDescent="0.2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39"/>
      <c r="AW465" s="39"/>
      <c r="AX465" s="26"/>
      <c r="AY465" s="26"/>
      <c r="AZ465" s="40"/>
      <c r="BA465" s="40"/>
    </row>
    <row r="466" spans="1:53" ht="15.75" customHeight="1" x14ac:dyDescent="0.25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39"/>
      <c r="AW466" s="39"/>
      <c r="AX466" s="26"/>
      <c r="AY466" s="26"/>
      <c r="AZ466" s="45"/>
      <c r="BA466" s="45"/>
    </row>
    <row r="467" spans="1:53" ht="15.75" customHeight="1" x14ac:dyDescent="0.25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39"/>
      <c r="AW467" s="39"/>
      <c r="AX467" s="26"/>
      <c r="AY467" s="26"/>
      <c r="AZ467" s="40"/>
      <c r="BA467" s="40"/>
    </row>
    <row r="468" spans="1:53" ht="15.75" customHeight="1" x14ac:dyDescent="0.25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39"/>
      <c r="AW468" s="39"/>
      <c r="AX468" s="26"/>
      <c r="AY468" s="26"/>
      <c r="AZ468" s="45"/>
      <c r="BA468" s="45"/>
    </row>
    <row r="469" spans="1:53" ht="15.75" customHeight="1" x14ac:dyDescent="0.25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39"/>
      <c r="AW469" s="39"/>
      <c r="AX469" s="26"/>
      <c r="AY469" s="26"/>
      <c r="AZ469" s="40"/>
      <c r="BA469" s="40"/>
    </row>
    <row r="470" spans="1:53" ht="15.75" customHeight="1" x14ac:dyDescent="0.25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39"/>
      <c r="AW470" s="39"/>
      <c r="AX470" s="26"/>
      <c r="AY470" s="26"/>
      <c r="AZ470" s="45"/>
      <c r="BA470" s="45"/>
    </row>
    <row r="471" spans="1:53" ht="15.75" customHeight="1" x14ac:dyDescent="0.25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39"/>
      <c r="AW471" s="39"/>
      <c r="AX471" s="26"/>
      <c r="AY471" s="26"/>
      <c r="AZ471" s="40"/>
      <c r="BA471" s="40"/>
    </row>
    <row r="472" spans="1:53" ht="15.75" customHeight="1" x14ac:dyDescent="0.25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39"/>
      <c r="AW472" s="39"/>
      <c r="AX472" s="26"/>
      <c r="AY472" s="26"/>
      <c r="AZ472" s="45"/>
      <c r="BA472" s="45"/>
    </row>
    <row r="473" spans="1:53" ht="15.75" customHeight="1" x14ac:dyDescent="0.25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39"/>
      <c r="AW473" s="39"/>
      <c r="AX473" s="26"/>
      <c r="AY473" s="26"/>
      <c r="AZ473" s="40"/>
      <c r="BA473" s="40"/>
    </row>
    <row r="474" spans="1:53" ht="15.75" customHeight="1" x14ac:dyDescent="0.25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39"/>
      <c r="AW474" s="39"/>
      <c r="AX474" s="26"/>
      <c r="AY474" s="26"/>
      <c r="AZ474" s="45"/>
      <c r="BA474" s="45"/>
    </row>
    <row r="475" spans="1:53" ht="15.75" customHeight="1" x14ac:dyDescent="0.2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39"/>
      <c r="AW475" s="39"/>
      <c r="AX475" s="26"/>
      <c r="AY475" s="26"/>
      <c r="AZ475" s="40"/>
      <c r="BA475" s="40"/>
    </row>
    <row r="476" spans="1:53" ht="15.75" customHeight="1" x14ac:dyDescent="0.25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39"/>
      <c r="AW476" s="39"/>
      <c r="AX476" s="26"/>
      <c r="AY476" s="26"/>
      <c r="AZ476" s="45"/>
      <c r="BA476" s="45"/>
    </row>
    <row r="477" spans="1:53" ht="15.75" customHeight="1" x14ac:dyDescent="0.25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39"/>
      <c r="AW477" s="39"/>
      <c r="AX477" s="26"/>
      <c r="AY477" s="26"/>
      <c r="AZ477" s="40"/>
      <c r="BA477" s="40"/>
    </row>
    <row r="478" spans="1:53" ht="15.75" customHeight="1" x14ac:dyDescent="0.25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39"/>
      <c r="AW478" s="39"/>
      <c r="AX478" s="26"/>
      <c r="AY478" s="26"/>
      <c r="AZ478" s="45"/>
      <c r="BA478" s="45"/>
    </row>
    <row r="479" spans="1:53" ht="15.75" customHeight="1" x14ac:dyDescent="0.25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39"/>
      <c r="AW479" s="39"/>
      <c r="AX479" s="26"/>
      <c r="AY479" s="26"/>
      <c r="AZ479" s="40"/>
      <c r="BA479" s="40"/>
    </row>
    <row r="480" spans="1:53" ht="15.75" customHeight="1" x14ac:dyDescent="0.25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39"/>
      <c r="AW480" s="39"/>
      <c r="AX480" s="26"/>
      <c r="AY480" s="26"/>
      <c r="AZ480" s="45"/>
      <c r="BA480" s="45"/>
    </row>
    <row r="481" spans="1:53" ht="15.75" customHeight="1" x14ac:dyDescent="0.25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39"/>
      <c r="AW481" s="39"/>
      <c r="AX481" s="26"/>
      <c r="AY481" s="26"/>
      <c r="AZ481" s="40"/>
      <c r="BA481" s="40"/>
    </row>
    <row r="482" spans="1:53" ht="15.75" customHeight="1" x14ac:dyDescent="0.25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39"/>
      <c r="AW482" s="39"/>
      <c r="AX482" s="26"/>
      <c r="AY482" s="26"/>
      <c r="AZ482" s="45"/>
      <c r="BA482" s="45"/>
    </row>
    <row r="483" spans="1:53" ht="15.75" customHeight="1" x14ac:dyDescent="0.25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39"/>
      <c r="AW483" s="39"/>
      <c r="AX483" s="26"/>
      <c r="AY483" s="26"/>
      <c r="AZ483" s="40"/>
      <c r="BA483" s="40"/>
    </row>
    <row r="484" spans="1:53" ht="15.75" customHeight="1" x14ac:dyDescent="0.25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39"/>
      <c r="AW484" s="39"/>
      <c r="AX484" s="26"/>
      <c r="AY484" s="26"/>
      <c r="AZ484" s="45"/>
      <c r="BA484" s="45"/>
    </row>
    <row r="485" spans="1:53" ht="15.75" customHeight="1" x14ac:dyDescent="0.2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39"/>
      <c r="AW485" s="39"/>
      <c r="AX485" s="26"/>
      <c r="AY485" s="26"/>
      <c r="AZ485" s="40"/>
      <c r="BA485" s="40"/>
    </row>
    <row r="486" spans="1:53" ht="15.75" customHeight="1" x14ac:dyDescent="0.25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39"/>
      <c r="AW486" s="39"/>
      <c r="AX486" s="26"/>
      <c r="AY486" s="26"/>
      <c r="AZ486" s="45"/>
      <c r="BA486" s="45"/>
    </row>
    <row r="487" spans="1:53" ht="15.75" customHeight="1" x14ac:dyDescent="0.25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39"/>
      <c r="AW487" s="39"/>
      <c r="AX487" s="26"/>
      <c r="AY487" s="26"/>
      <c r="AZ487" s="40"/>
      <c r="BA487" s="40"/>
    </row>
    <row r="488" spans="1:53" ht="15.75" customHeight="1" x14ac:dyDescent="0.25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39"/>
      <c r="AW488" s="39"/>
      <c r="AX488" s="26"/>
      <c r="AY488" s="26"/>
      <c r="AZ488" s="45"/>
      <c r="BA488" s="45"/>
    </row>
    <row r="489" spans="1:53" ht="15.75" customHeight="1" x14ac:dyDescent="0.25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39"/>
      <c r="AW489" s="39"/>
      <c r="AX489" s="26"/>
      <c r="AY489" s="26"/>
      <c r="AZ489" s="40"/>
      <c r="BA489" s="40"/>
    </row>
    <row r="490" spans="1:53" ht="15.75" customHeight="1" x14ac:dyDescent="0.25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39"/>
      <c r="AW490" s="39"/>
      <c r="AX490" s="26"/>
      <c r="AY490" s="26"/>
      <c r="AZ490" s="45"/>
      <c r="BA490" s="45"/>
    </row>
    <row r="491" spans="1:53" ht="15.75" customHeight="1" x14ac:dyDescent="0.25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39"/>
      <c r="AW491" s="39"/>
      <c r="AX491" s="26"/>
      <c r="AY491" s="26"/>
      <c r="AZ491" s="40"/>
      <c r="BA491" s="40"/>
    </row>
    <row r="492" spans="1:53" ht="15.75" customHeight="1" x14ac:dyDescent="0.25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39"/>
      <c r="AW492" s="39"/>
      <c r="AX492" s="26"/>
      <c r="AY492" s="26"/>
      <c r="AZ492" s="45"/>
      <c r="BA492" s="45"/>
    </row>
    <row r="493" spans="1:53" ht="15.75" customHeight="1" x14ac:dyDescent="0.25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39"/>
      <c r="AW493" s="39"/>
      <c r="AX493" s="26"/>
      <c r="AY493" s="26"/>
      <c r="AZ493" s="40"/>
      <c r="BA493" s="40"/>
    </row>
    <row r="494" spans="1:53" ht="15.75" customHeight="1" x14ac:dyDescent="0.25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39"/>
      <c r="AW494" s="39"/>
      <c r="AX494" s="26"/>
      <c r="AY494" s="26"/>
      <c r="AZ494" s="45"/>
      <c r="BA494" s="45"/>
    </row>
    <row r="495" spans="1:53" ht="15.75" customHeight="1" x14ac:dyDescent="0.2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39"/>
      <c r="AW495" s="39"/>
      <c r="AX495" s="26"/>
      <c r="AY495" s="26"/>
      <c r="AZ495" s="40"/>
      <c r="BA495" s="40"/>
    </row>
    <row r="496" spans="1:53" ht="15.75" customHeight="1" x14ac:dyDescent="0.25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39"/>
      <c r="AW496" s="39"/>
      <c r="AX496" s="26"/>
      <c r="AY496" s="26"/>
      <c r="AZ496" s="45"/>
      <c r="BA496" s="45"/>
    </row>
    <row r="497" spans="1:53" ht="15.75" customHeight="1" x14ac:dyDescent="0.25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39"/>
      <c r="AW497" s="39"/>
      <c r="AX497" s="26"/>
      <c r="AY497" s="26"/>
      <c r="AZ497" s="40"/>
      <c r="BA497" s="40"/>
    </row>
    <row r="498" spans="1:53" ht="15.75" customHeight="1" x14ac:dyDescent="0.25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39"/>
      <c r="AW498" s="39"/>
      <c r="AX498" s="26"/>
      <c r="AY498" s="26"/>
      <c r="AZ498" s="45"/>
      <c r="BA498" s="45"/>
    </row>
    <row r="499" spans="1:53" ht="15.75" customHeight="1" x14ac:dyDescent="0.25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39"/>
      <c r="AW499" s="39"/>
      <c r="AX499" s="26"/>
      <c r="AY499" s="26"/>
      <c r="AZ499" s="40"/>
      <c r="BA499" s="40"/>
    </row>
    <row r="500" spans="1:53" ht="15.75" customHeight="1" x14ac:dyDescent="0.25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39"/>
      <c r="AW500" s="39"/>
      <c r="AX500" s="26"/>
      <c r="AY500" s="26"/>
      <c r="AZ500" s="45"/>
      <c r="BA500" s="45"/>
    </row>
    <row r="501" spans="1:53" ht="15.75" customHeight="1" x14ac:dyDescent="0.25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39"/>
      <c r="AW501" s="39"/>
      <c r="AX501" s="26"/>
      <c r="AY501" s="26"/>
      <c r="AZ501" s="40"/>
      <c r="BA501" s="40"/>
    </row>
    <row r="502" spans="1:53" ht="15.75" customHeight="1" x14ac:dyDescent="0.25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39"/>
      <c r="AW502" s="39"/>
      <c r="AX502" s="26"/>
      <c r="AY502" s="26"/>
      <c r="AZ502" s="45"/>
      <c r="BA502" s="45"/>
    </row>
    <row r="503" spans="1:53" ht="15.75" customHeight="1" x14ac:dyDescent="0.25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39"/>
      <c r="AW503" s="39"/>
      <c r="AX503" s="26"/>
      <c r="AY503" s="26"/>
      <c r="AZ503" s="40"/>
      <c r="BA503" s="40"/>
    </row>
    <row r="504" spans="1:53" ht="15.75" customHeight="1" x14ac:dyDescent="0.25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39"/>
      <c r="AW504" s="39"/>
      <c r="AX504" s="26"/>
      <c r="AY504" s="26"/>
      <c r="AZ504" s="45"/>
      <c r="BA504" s="45"/>
    </row>
    <row r="505" spans="1:53" ht="15.75" customHeight="1" x14ac:dyDescent="0.2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39"/>
      <c r="AW505" s="39"/>
      <c r="AX505" s="26"/>
      <c r="AY505" s="26"/>
      <c r="AZ505" s="40"/>
      <c r="BA505" s="40"/>
    </row>
    <row r="506" spans="1:53" ht="15.75" customHeight="1" x14ac:dyDescent="0.25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39"/>
      <c r="AW506" s="39"/>
      <c r="AX506" s="26"/>
      <c r="AY506" s="26"/>
      <c r="AZ506" s="45"/>
      <c r="BA506" s="45"/>
    </row>
    <row r="507" spans="1:53" ht="15.75" customHeight="1" x14ac:dyDescent="0.25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39"/>
      <c r="AW507" s="39"/>
      <c r="AX507" s="26"/>
      <c r="AY507" s="26"/>
      <c r="AZ507" s="40"/>
      <c r="BA507" s="40"/>
    </row>
    <row r="508" spans="1:53" ht="15.75" customHeight="1" x14ac:dyDescent="0.25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39"/>
      <c r="AW508" s="39"/>
      <c r="AX508" s="26"/>
      <c r="AY508" s="26"/>
      <c r="AZ508" s="45"/>
      <c r="BA508" s="45"/>
    </row>
    <row r="509" spans="1:53" ht="15.75" customHeight="1" x14ac:dyDescent="0.25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39"/>
      <c r="AW509" s="39"/>
      <c r="AX509" s="26"/>
      <c r="AY509" s="26"/>
      <c r="AZ509" s="40"/>
      <c r="BA509" s="40"/>
    </row>
    <row r="510" spans="1:53" ht="15.75" customHeight="1" x14ac:dyDescent="0.25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39"/>
      <c r="AW510" s="39"/>
      <c r="AX510" s="26"/>
      <c r="AY510" s="26"/>
      <c r="AZ510" s="45"/>
      <c r="BA510" s="45"/>
    </row>
    <row r="511" spans="1:53" ht="15.75" customHeight="1" x14ac:dyDescent="0.25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39"/>
      <c r="AW511" s="39"/>
      <c r="AX511" s="26"/>
      <c r="AY511" s="26"/>
      <c r="AZ511" s="40"/>
      <c r="BA511" s="40"/>
    </row>
    <row r="512" spans="1:53" ht="15.75" customHeight="1" x14ac:dyDescent="0.25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39"/>
      <c r="AW512" s="39"/>
      <c r="AX512" s="26"/>
      <c r="AY512" s="26"/>
      <c r="AZ512" s="45"/>
      <c r="BA512" s="45"/>
    </row>
    <row r="513" spans="1:53" ht="15.75" customHeight="1" x14ac:dyDescent="0.25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39"/>
      <c r="AW513" s="39"/>
      <c r="AX513" s="26"/>
      <c r="AY513" s="26"/>
      <c r="AZ513" s="40"/>
      <c r="BA513" s="40"/>
    </row>
    <row r="514" spans="1:53" ht="15.75" customHeight="1" x14ac:dyDescent="0.25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39"/>
      <c r="AW514" s="39"/>
      <c r="AX514" s="26"/>
      <c r="AY514" s="26"/>
      <c r="AZ514" s="45"/>
      <c r="BA514" s="45"/>
    </row>
    <row r="515" spans="1:53" ht="15.75" customHeight="1" x14ac:dyDescent="0.2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39"/>
      <c r="AW515" s="39"/>
      <c r="AX515" s="26"/>
      <c r="AY515" s="26"/>
      <c r="AZ515" s="40"/>
      <c r="BA515" s="40"/>
    </row>
    <row r="516" spans="1:53" ht="15.75" customHeight="1" x14ac:dyDescent="0.25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39"/>
      <c r="AW516" s="39"/>
      <c r="AX516" s="26"/>
      <c r="AY516" s="26"/>
      <c r="AZ516" s="45"/>
      <c r="BA516" s="45"/>
    </row>
    <row r="517" spans="1:53" ht="15.75" customHeight="1" x14ac:dyDescent="0.25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39"/>
      <c r="AW517" s="39"/>
      <c r="AX517" s="26"/>
      <c r="AY517" s="26"/>
      <c r="AZ517" s="40"/>
      <c r="BA517" s="40"/>
    </row>
    <row r="518" spans="1:53" ht="15.75" customHeight="1" x14ac:dyDescent="0.25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39"/>
      <c r="AW518" s="39"/>
      <c r="AX518" s="26"/>
      <c r="AY518" s="26"/>
      <c r="AZ518" s="45"/>
      <c r="BA518" s="45"/>
    </row>
    <row r="519" spans="1:53" ht="15.75" customHeight="1" x14ac:dyDescent="0.25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39"/>
      <c r="AW519" s="39"/>
      <c r="AX519" s="26"/>
      <c r="AY519" s="26"/>
      <c r="AZ519" s="40"/>
      <c r="BA519" s="40"/>
    </row>
    <row r="520" spans="1:53" ht="15.75" customHeight="1" x14ac:dyDescent="0.25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39"/>
      <c r="AW520" s="39"/>
      <c r="AX520" s="26"/>
      <c r="AY520" s="26"/>
      <c r="AZ520" s="45"/>
      <c r="BA520" s="45"/>
    </row>
    <row r="521" spans="1:53" ht="15.75" customHeight="1" x14ac:dyDescent="0.25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39"/>
      <c r="AW521" s="39"/>
      <c r="AX521" s="26"/>
      <c r="AY521" s="26"/>
      <c r="AZ521" s="40"/>
      <c r="BA521" s="40"/>
    </row>
    <row r="522" spans="1:53" ht="15.75" customHeight="1" x14ac:dyDescent="0.25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39"/>
      <c r="AW522" s="39"/>
      <c r="AX522" s="26"/>
      <c r="AY522" s="26"/>
      <c r="AZ522" s="45"/>
      <c r="BA522" s="45"/>
    </row>
    <row r="523" spans="1:53" ht="15.75" customHeight="1" x14ac:dyDescent="0.25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39"/>
      <c r="AW523" s="39"/>
      <c r="AX523" s="26"/>
      <c r="AY523" s="26"/>
      <c r="AZ523" s="40"/>
      <c r="BA523" s="40"/>
    </row>
    <row r="524" spans="1:53" ht="15.75" customHeight="1" x14ac:dyDescent="0.25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39"/>
      <c r="AW524" s="39"/>
      <c r="AX524" s="26"/>
      <c r="AY524" s="26"/>
      <c r="AZ524" s="45"/>
      <c r="BA524" s="45"/>
    </row>
    <row r="525" spans="1:53" ht="15.75" customHeight="1" x14ac:dyDescent="0.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39"/>
      <c r="AW525" s="39"/>
      <c r="AX525" s="26"/>
      <c r="AY525" s="26"/>
      <c r="AZ525" s="40"/>
      <c r="BA525" s="40"/>
    </row>
    <row r="526" spans="1:53" ht="15.75" customHeight="1" x14ac:dyDescent="0.25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39"/>
      <c r="AW526" s="39"/>
      <c r="AX526" s="26"/>
      <c r="AY526" s="26"/>
      <c r="AZ526" s="45"/>
      <c r="BA526" s="45"/>
    </row>
    <row r="527" spans="1:53" ht="15.75" customHeight="1" x14ac:dyDescent="0.25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39"/>
      <c r="AW527" s="39"/>
      <c r="AX527" s="26"/>
      <c r="AY527" s="26"/>
      <c r="AZ527" s="40"/>
      <c r="BA527" s="40"/>
    </row>
    <row r="528" spans="1:53" ht="15.75" customHeight="1" x14ac:dyDescent="0.25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39"/>
      <c r="AW528" s="39"/>
      <c r="AX528" s="26"/>
      <c r="AY528" s="26"/>
      <c r="AZ528" s="45"/>
      <c r="BA528" s="45"/>
    </row>
    <row r="529" spans="1:53" ht="15.75" customHeight="1" x14ac:dyDescent="0.25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39"/>
      <c r="AW529" s="39"/>
      <c r="AX529" s="26"/>
      <c r="AY529" s="26"/>
      <c r="AZ529" s="40"/>
      <c r="BA529" s="40"/>
    </row>
    <row r="530" spans="1:53" ht="15.75" customHeight="1" x14ac:dyDescent="0.25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39"/>
      <c r="AW530" s="39"/>
      <c r="AX530" s="26"/>
      <c r="AY530" s="26"/>
      <c r="AZ530" s="45"/>
      <c r="BA530" s="45"/>
    </row>
    <row r="531" spans="1:53" ht="15.75" customHeight="1" x14ac:dyDescent="0.25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39"/>
      <c r="AW531" s="39"/>
      <c r="AX531" s="26"/>
      <c r="AY531" s="26"/>
      <c r="AZ531" s="40"/>
      <c r="BA531" s="40"/>
    </row>
    <row r="532" spans="1:53" ht="15.75" customHeight="1" x14ac:dyDescent="0.25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39"/>
      <c r="AW532" s="39"/>
      <c r="AX532" s="26"/>
      <c r="AY532" s="26"/>
      <c r="AZ532" s="45"/>
      <c r="BA532" s="45"/>
    </row>
    <row r="533" spans="1:53" ht="15.75" customHeight="1" x14ac:dyDescent="0.25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39"/>
      <c r="AW533" s="39"/>
      <c r="AX533" s="26"/>
      <c r="AY533" s="26"/>
      <c r="AZ533" s="40"/>
      <c r="BA533" s="40"/>
    </row>
    <row r="534" spans="1:53" ht="15.75" customHeight="1" x14ac:dyDescent="0.25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39"/>
      <c r="AW534" s="39"/>
      <c r="AX534" s="26"/>
      <c r="AY534" s="26"/>
      <c r="AZ534" s="45"/>
      <c r="BA534" s="45"/>
    </row>
    <row r="535" spans="1:53" ht="15.75" customHeight="1" x14ac:dyDescent="0.2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39"/>
      <c r="AW535" s="39"/>
      <c r="AX535" s="26"/>
      <c r="AY535" s="26"/>
      <c r="AZ535" s="40"/>
      <c r="BA535" s="40"/>
    </row>
    <row r="536" spans="1:53" ht="15.75" customHeight="1" x14ac:dyDescent="0.25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39"/>
      <c r="AW536" s="39"/>
      <c r="AX536" s="26"/>
      <c r="AY536" s="26"/>
      <c r="AZ536" s="45"/>
      <c r="BA536" s="45"/>
    </row>
    <row r="537" spans="1:53" ht="15.75" customHeight="1" x14ac:dyDescent="0.25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39"/>
      <c r="AW537" s="39"/>
      <c r="AX537" s="26"/>
      <c r="AY537" s="26"/>
      <c r="AZ537" s="40"/>
      <c r="BA537" s="40"/>
    </row>
    <row r="538" spans="1:53" ht="15.75" customHeight="1" x14ac:dyDescent="0.25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39"/>
      <c r="AW538" s="39"/>
      <c r="AX538" s="26"/>
      <c r="AY538" s="26"/>
      <c r="AZ538" s="45"/>
      <c r="BA538" s="45"/>
    </row>
    <row r="539" spans="1:53" ht="15.75" customHeight="1" x14ac:dyDescent="0.25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39"/>
      <c r="AW539" s="39"/>
      <c r="AX539" s="26"/>
      <c r="AY539" s="26"/>
      <c r="AZ539" s="40"/>
      <c r="BA539" s="40"/>
    </row>
    <row r="540" spans="1:53" ht="15.75" customHeight="1" x14ac:dyDescent="0.25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39"/>
      <c r="AW540" s="39"/>
      <c r="AX540" s="26"/>
      <c r="AY540" s="26"/>
      <c r="AZ540" s="45"/>
      <c r="BA540" s="45"/>
    </row>
    <row r="541" spans="1:53" ht="15.75" customHeight="1" x14ac:dyDescent="0.25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39"/>
      <c r="AW541" s="39"/>
      <c r="AX541" s="26"/>
      <c r="AY541" s="26"/>
      <c r="AZ541" s="40"/>
      <c r="BA541" s="40"/>
    </row>
    <row r="542" spans="1:53" ht="15.75" customHeight="1" x14ac:dyDescent="0.25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39"/>
      <c r="AW542" s="39"/>
      <c r="AX542" s="26"/>
      <c r="AY542" s="26"/>
      <c r="AZ542" s="45"/>
      <c r="BA542" s="45"/>
    </row>
    <row r="543" spans="1:53" ht="15.75" customHeight="1" x14ac:dyDescent="0.25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39"/>
      <c r="AW543" s="39"/>
      <c r="AX543" s="26"/>
      <c r="AY543" s="26"/>
      <c r="AZ543" s="40"/>
      <c r="BA543" s="40"/>
    </row>
    <row r="544" spans="1:53" ht="15.75" customHeight="1" x14ac:dyDescent="0.25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39"/>
      <c r="AW544" s="39"/>
      <c r="AX544" s="26"/>
      <c r="AY544" s="26"/>
      <c r="AZ544" s="45"/>
      <c r="BA544" s="45"/>
    </row>
    <row r="545" spans="1:53" ht="15.75" customHeight="1" x14ac:dyDescent="0.2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39"/>
      <c r="AW545" s="39"/>
      <c r="AX545" s="26"/>
      <c r="AY545" s="26"/>
      <c r="AZ545" s="40"/>
      <c r="BA545" s="40"/>
    </row>
    <row r="546" spans="1:53" ht="15.75" customHeight="1" x14ac:dyDescent="0.25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39"/>
      <c r="AW546" s="39"/>
      <c r="AX546" s="26"/>
      <c r="AY546" s="26"/>
      <c r="AZ546" s="45"/>
      <c r="BA546" s="45"/>
    </row>
    <row r="547" spans="1:53" ht="15.75" customHeight="1" x14ac:dyDescent="0.25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39"/>
      <c r="AW547" s="39"/>
      <c r="AX547" s="26"/>
      <c r="AY547" s="26"/>
      <c r="AZ547" s="40"/>
      <c r="BA547" s="40"/>
    </row>
    <row r="548" spans="1:53" ht="15.75" customHeight="1" x14ac:dyDescent="0.25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39"/>
      <c r="AW548" s="39"/>
      <c r="AX548" s="26"/>
      <c r="AY548" s="26"/>
      <c r="AZ548" s="45"/>
      <c r="BA548" s="45"/>
    </row>
    <row r="549" spans="1:53" ht="15.75" customHeight="1" x14ac:dyDescent="0.25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39"/>
      <c r="AW549" s="39"/>
      <c r="AX549" s="26"/>
      <c r="AY549" s="26"/>
      <c r="AZ549" s="40"/>
      <c r="BA549" s="40"/>
    </row>
    <row r="550" spans="1:53" ht="15.75" customHeight="1" x14ac:dyDescent="0.25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39"/>
      <c r="AW550" s="39"/>
      <c r="AX550" s="26"/>
      <c r="AY550" s="26"/>
      <c r="AZ550" s="45"/>
      <c r="BA550" s="45"/>
    </row>
    <row r="551" spans="1:53" ht="15.75" customHeight="1" x14ac:dyDescent="0.25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39"/>
      <c r="AW551" s="39"/>
      <c r="AX551" s="26"/>
      <c r="AY551" s="26"/>
      <c r="AZ551" s="40"/>
      <c r="BA551" s="40"/>
    </row>
    <row r="552" spans="1:53" ht="15.75" customHeight="1" x14ac:dyDescent="0.25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39"/>
      <c r="AW552" s="39"/>
      <c r="AX552" s="26"/>
      <c r="AY552" s="26"/>
      <c r="AZ552" s="45"/>
      <c r="BA552" s="45"/>
    </row>
    <row r="553" spans="1:53" ht="15.75" customHeight="1" x14ac:dyDescent="0.25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39"/>
      <c r="AW553" s="39"/>
      <c r="AX553" s="26"/>
      <c r="AY553" s="26"/>
      <c r="AZ553" s="40"/>
      <c r="BA553" s="40"/>
    </row>
    <row r="554" spans="1:53" ht="15.75" customHeight="1" x14ac:dyDescent="0.25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39"/>
      <c r="AW554" s="39"/>
      <c r="AX554" s="26"/>
      <c r="AY554" s="26"/>
      <c r="AZ554" s="45"/>
      <c r="BA554" s="45"/>
    </row>
    <row r="555" spans="1:53" ht="15.75" customHeight="1" x14ac:dyDescent="0.2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39"/>
      <c r="AW555" s="39"/>
      <c r="AX555" s="26"/>
      <c r="AY555" s="26"/>
      <c r="AZ555" s="40"/>
      <c r="BA555" s="40"/>
    </row>
    <row r="556" spans="1:53" ht="15.75" customHeight="1" x14ac:dyDescent="0.25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39"/>
      <c r="AW556" s="39"/>
      <c r="AX556" s="26"/>
      <c r="AY556" s="26"/>
      <c r="AZ556" s="45"/>
      <c r="BA556" s="45"/>
    </row>
    <row r="557" spans="1:53" ht="15.75" customHeight="1" x14ac:dyDescent="0.25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39"/>
      <c r="AW557" s="39"/>
      <c r="AX557" s="26"/>
      <c r="AY557" s="26"/>
      <c r="AZ557" s="40"/>
      <c r="BA557" s="40"/>
    </row>
    <row r="558" spans="1:53" ht="15.75" customHeight="1" x14ac:dyDescent="0.25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39"/>
      <c r="AW558" s="39"/>
      <c r="AX558" s="26"/>
      <c r="AY558" s="26"/>
      <c r="AZ558" s="45"/>
      <c r="BA558" s="45"/>
    </row>
    <row r="559" spans="1:53" ht="15.75" customHeight="1" x14ac:dyDescent="0.25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39"/>
      <c r="AW559" s="39"/>
      <c r="AX559" s="26"/>
      <c r="AY559" s="26"/>
      <c r="AZ559" s="40"/>
      <c r="BA559" s="40"/>
    </row>
    <row r="560" spans="1:53" ht="15.75" customHeight="1" x14ac:dyDescent="0.25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39"/>
      <c r="AW560" s="39"/>
      <c r="AX560" s="26"/>
      <c r="AY560" s="26"/>
      <c r="AZ560" s="45"/>
      <c r="BA560" s="45"/>
    </row>
    <row r="561" spans="1:53" ht="15.75" customHeight="1" x14ac:dyDescent="0.25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39"/>
      <c r="AW561" s="39"/>
      <c r="AX561" s="26"/>
      <c r="AY561" s="26"/>
      <c r="AZ561" s="40"/>
      <c r="BA561" s="40"/>
    </row>
    <row r="562" spans="1:53" ht="15.75" customHeight="1" x14ac:dyDescent="0.25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39"/>
      <c r="AW562" s="39"/>
      <c r="AX562" s="26"/>
      <c r="AY562" s="26"/>
      <c r="AZ562" s="45"/>
      <c r="BA562" s="45"/>
    </row>
    <row r="563" spans="1:53" ht="15.75" customHeight="1" x14ac:dyDescent="0.25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39"/>
      <c r="AW563" s="39"/>
      <c r="AX563" s="26"/>
      <c r="AY563" s="26"/>
      <c r="AZ563" s="40"/>
      <c r="BA563" s="40"/>
    </row>
    <row r="564" spans="1:53" ht="15.75" customHeight="1" x14ac:dyDescent="0.25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39"/>
      <c r="AW564" s="39"/>
      <c r="AX564" s="26"/>
      <c r="AY564" s="26"/>
      <c r="AZ564" s="45"/>
      <c r="BA564" s="45"/>
    </row>
    <row r="565" spans="1:53" ht="15.75" customHeight="1" x14ac:dyDescent="0.2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39"/>
      <c r="AW565" s="39"/>
      <c r="AX565" s="26"/>
      <c r="AY565" s="26"/>
      <c r="AZ565" s="40"/>
      <c r="BA565" s="40"/>
    </row>
    <row r="566" spans="1:53" ht="15.75" customHeight="1" x14ac:dyDescent="0.25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39"/>
      <c r="AW566" s="39"/>
      <c r="AX566" s="26"/>
      <c r="AY566" s="26"/>
      <c r="AZ566" s="45"/>
      <c r="BA566" s="45"/>
    </row>
    <row r="567" spans="1:53" ht="15.75" customHeight="1" x14ac:dyDescent="0.25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39"/>
      <c r="AW567" s="39"/>
      <c r="AX567" s="26"/>
      <c r="AY567" s="26"/>
      <c r="AZ567" s="40"/>
      <c r="BA567" s="40"/>
    </row>
    <row r="568" spans="1:53" ht="15.75" customHeight="1" x14ac:dyDescent="0.25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39"/>
      <c r="AW568" s="39"/>
      <c r="AX568" s="26"/>
      <c r="AY568" s="26"/>
      <c r="AZ568" s="45"/>
      <c r="BA568" s="45"/>
    </row>
    <row r="569" spans="1:53" ht="15.75" customHeight="1" x14ac:dyDescent="0.25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39"/>
      <c r="AW569" s="39"/>
      <c r="AX569" s="26"/>
      <c r="AY569" s="26"/>
      <c r="AZ569" s="40"/>
      <c r="BA569" s="40"/>
    </row>
    <row r="570" spans="1:53" ht="15.75" customHeight="1" x14ac:dyDescent="0.25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39"/>
      <c r="AW570" s="39"/>
      <c r="AX570" s="26"/>
      <c r="AY570" s="26"/>
      <c r="AZ570" s="45"/>
      <c r="BA570" s="45"/>
    </row>
    <row r="571" spans="1:53" ht="15.75" customHeight="1" x14ac:dyDescent="0.25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39"/>
      <c r="AW571" s="39"/>
      <c r="AX571" s="26"/>
      <c r="AY571" s="26"/>
      <c r="AZ571" s="40"/>
      <c r="BA571" s="40"/>
    </row>
    <row r="572" spans="1:53" ht="15.75" customHeight="1" x14ac:dyDescent="0.25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39"/>
      <c r="AW572" s="39"/>
      <c r="AX572" s="26"/>
      <c r="AY572" s="26"/>
      <c r="AZ572" s="45"/>
      <c r="BA572" s="45"/>
    </row>
    <row r="573" spans="1:53" ht="15.75" customHeight="1" x14ac:dyDescent="0.25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39"/>
      <c r="AW573" s="39"/>
      <c r="AX573" s="26"/>
      <c r="AY573" s="26"/>
      <c r="AZ573" s="40"/>
      <c r="BA573" s="40"/>
    </row>
    <row r="574" spans="1:53" ht="15.75" customHeight="1" x14ac:dyDescent="0.25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39"/>
      <c r="AW574" s="39"/>
      <c r="AX574" s="26"/>
      <c r="AY574" s="26"/>
      <c r="AZ574" s="45"/>
      <c r="BA574" s="45"/>
    </row>
    <row r="575" spans="1:53" ht="15.75" customHeight="1" x14ac:dyDescent="0.2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39"/>
      <c r="AW575" s="39"/>
      <c r="AX575" s="26"/>
      <c r="AY575" s="26"/>
      <c r="AZ575" s="40"/>
      <c r="BA575" s="40"/>
    </row>
    <row r="576" spans="1:53" ht="15.75" customHeight="1" x14ac:dyDescent="0.25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39"/>
      <c r="AW576" s="39"/>
      <c r="AX576" s="26"/>
      <c r="AY576" s="26"/>
      <c r="AZ576" s="45"/>
      <c r="BA576" s="45"/>
    </row>
    <row r="577" spans="1:53" ht="15.75" customHeight="1" x14ac:dyDescent="0.25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39"/>
      <c r="AW577" s="39"/>
      <c r="AX577" s="26"/>
      <c r="AY577" s="26"/>
      <c r="AZ577" s="40"/>
      <c r="BA577" s="40"/>
    </row>
    <row r="578" spans="1:53" ht="15.75" customHeight="1" x14ac:dyDescent="0.25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39"/>
      <c r="AW578" s="39"/>
      <c r="AX578" s="26"/>
      <c r="AY578" s="26"/>
      <c r="AZ578" s="45"/>
      <c r="BA578" s="45"/>
    </row>
    <row r="579" spans="1:53" ht="15.75" customHeight="1" x14ac:dyDescent="0.25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39"/>
      <c r="AW579" s="39"/>
      <c r="AX579" s="26"/>
      <c r="AY579" s="26"/>
      <c r="AZ579" s="40"/>
      <c r="BA579" s="40"/>
    </row>
    <row r="580" spans="1:53" ht="15.75" customHeight="1" x14ac:dyDescent="0.25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39"/>
      <c r="AW580" s="39"/>
      <c r="AX580" s="26"/>
      <c r="AY580" s="26"/>
      <c r="AZ580" s="45"/>
      <c r="BA580" s="45"/>
    </row>
    <row r="581" spans="1:53" ht="15.75" customHeight="1" x14ac:dyDescent="0.25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39"/>
      <c r="AW581" s="39"/>
      <c r="AX581" s="26"/>
      <c r="AY581" s="26"/>
      <c r="AZ581" s="40"/>
      <c r="BA581" s="40"/>
    </row>
    <row r="582" spans="1:53" ht="15.75" customHeight="1" x14ac:dyDescent="0.25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39"/>
      <c r="AW582" s="39"/>
      <c r="AX582" s="26"/>
      <c r="AY582" s="26"/>
      <c r="AZ582" s="45"/>
      <c r="BA582" s="45"/>
    </row>
    <row r="583" spans="1:53" ht="15.75" customHeight="1" x14ac:dyDescent="0.25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39"/>
      <c r="AW583" s="39"/>
      <c r="AX583" s="26"/>
      <c r="AY583" s="26"/>
      <c r="AZ583" s="40"/>
      <c r="BA583" s="40"/>
    </row>
    <row r="584" spans="1:53" ht="15.75" customHeight="1" x14ac:dyDescent="0.25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39"/>
      <c r="AW584" s="39"/>
      <c r="AX584" s="26"/>
      <c r="AY584" s="26"/>
      <c r="AZ584" s="45"/>
      <c r="BA584" s="45"/>
    </row>
    <row r="585" spans="1:53" ht="15.75" customHeight="1" x14ac:dyDescent="0.2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39"/>
      <c r="AW585" s="39"/>
      <c r="AX585" s="26"/>
      <c r="AY585" s="26"/>
      <c r="AZ585" s="40"/>
      <c r="BA585" s="40"/>
    </row>
    <row r="586" spans="1:53" ht="15.75" customHeight="1" x14ac:dyDescent="0.25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39"/>
      <c r="AW586" s="39"/>
      <c r="AX586" s="26"/>
      <c r="AY586" s="26"/>
      <c r="AZ586" s="45"/>
      <c r="BA586" s="45"/>
    </row>
    <row r="587" spans="1:53" ht="15.75" customHeight="1" x14ac:dyDescent="0.25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39"/>
      <c r="AW587" s="39"/>
      <c r="AX587" s="26"/>
      <c r="AY587" s="26"/>
      <c r="AZ587" s="40"/>
      <c r="BA587" s="40"/>
    </row>
    <row r="588" spans="1:53" ht="15.75" customHeight="1" x14ac:dyDescent="0.25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39"/>
      <c r="AW588" s="39"/>
      <c r="AX588" s="26"/>
      <c r="AY588" s="26"/>
      <c r="AZ588" s="45"/>
      <c r="BA588" s="45"/>
    </row>
    <row r="589" spans="1:53" ht="15.75" customHeight="1" x14ac:dyDescent="0.25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39"/>
      <c r="AW589" s="39"/>
      <c r="AX589" s="26"/>
      <c r="AY589" s="26"/>
      <c r="AZ589" s="40"/>
      <c r="BA589" s="40"/>
    </row>
    <row r="590" spans="1:53" ht="15.75" customHeight="1" x14ac:dyDescent="0.25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39"/>
      <c r="AW590" s="39"/>
      <c r="AX590" s="26"/>
      <c r="AY590" s="26"/>
      <c r="AZ590" s="45"/>
      <c r="BA590" s="45"/>
    </row>
    <row r="591" spans="1:53" ht="15.75" customHeight="1" x14ac:dyDescent="0.25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39"/>
      <c r="AW591" s="39"/>
      <c r="AX591" s="26"/>
      <c r="AY591" s="26"/>
      <c r="AZ591" s="40"/>
      <c r="BA591" s="40"/>
    </row>
    <row r="592" spans="1:53" ht="15.75" customHeight="1" x14ac:dyDescent="0.25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39"/>
      <c r="AW592" s="39"/>
      <c r="AX592" s="26"/>
      <c r="AY592" s="26"/>
      <c r="AZ592" s="45"/>
      <c r="BA592" s="45"/>
    </row>
    <row r="593" spans="1:53" ht="15.75" customHeight="1" x14ac:dyDescent="0.25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39"/>
      <c r="AW593" s="39"/>
      <c r="AX593" s="26"/>
      <c r="AY593" s="26"/>
      <c r="AZ593" s="40"/>
      <c r="BA593" s="40"/>
    </row>
    <row r="594" spans="1:53" ht="15.75" customHeight="1" x14ac:dyDescent="0.25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39"/>
      <c r="AW594" s="39"/>
      <c r="AX594" s="26"/>
      <c r="AY594" s="26"/>
      <c r="AZ594" s="45"/>
      <c r="BA594" s="45"/>
    </row>
    <row r="595" spans="1:53" ht="15.75" customHeight="1" x14ac:dyDescent="0.2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39"/>
      <c r="AW595" s="39"/>
      <c r="AX595" s="26"/>
      <c r="AY595" s="26"/>
      <c r="AZ595" s="40"/>
      <c r="BA595" s="40"/>
    </row>
    <row r="596" spans="1:53" ht="15.75" customHeight="1" x14ac:dyDescent="0.25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39"/>
      <c r="AW596" s="39"/>
      <c r="AX596" s="26"/>
      <c r="AY596" s="26"/>
      <c r="AZ596" s="45"/>
      <c r="BA596" s="45"/>
    </row>
    <row r="597" spans="1:53" ht="15.75" customHeight="1" x14ac:dyDescent="0.25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39"/>
      <c r="AW597" s="39"/>
      <c r="AX597" s="26"/>
      <c r="AY597" s="26"/>
      <c r="AZ597" s="40"/>
      <c r="BA597" s="40"/>
    </row>
    <row r="598" spans="1:53" ht="15.75" customHeight="1" x14ac:dyDescent="0.25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39"/>
      <c r="AW598" s="39"/>
      <c r="AX598" s="26"/>
      <c r="AY598" s="26"/>
      <c r="AZ598" s="45"/>
      <c r="BA598" s="45"/>
    </row>
    <row r="599" spans="1:53" ht="15.75" customHeight="1" x14ac:dyDescent="0.25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39"/>
      <c r="AW599" s="39"/>
      <c r="AX599" s="26"/>
      <c r="AY599" s="26"/>
      <c r="AZ599" s="40"/>
      <c r="BA599" s="40"/>
    </row>
    <row r="600" spans="1:53" ht="15.75" customHeight="1" x14ac:dyDescent="0.25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39"/>
      <c r="AW600" s="39"/>
      <c r="AX600" s="26"/>
      <c r="AY600" s="26"/>
      <c r="AZ600" s="45"/>
      <c r="BA600" s="45"/>
    </row>
    <row r="601" spans="1:53" ht="15.75" customHeight="1" x14ac:dyDescent="0.25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39"/>
      <c r="AW601" s="39"/>
      <c r="AX601" s="26"/>
      <c r="AY601" s="26"/>
      <c r="AZ601" s="40"/>
      <c r="BA601" s="40"/>
    </row>
    <row r="602" spans="1:53" ht="15.75" customHeight="1" x14ac:dyDescent="0.25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39"/>
      <c r="AW602" s="39"/>
      <c r="AX602" s="26"/>
      <c r="AY602" s="26"/>
      <c r="AZ602" s="45"/>
      <c r="BA602" s="45"/>
    </row>
    <row r="603" spans="1:53" ht="15.75" customHeight="1" x14ac:dyDescent="0.25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39"/>
      <c r="AW603" s="39"/>
      <c r="AX603" s="26"/>
      <c r="AY603" s="26"/>
      <c r="AZ603" s="40"/>
      <c r="BA603" s="40"/>
    </row>
    <row r="604" spans="1:53" ht="15.75" customHeight="1" x14ac:dyDescent="0.25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39"/>
      <c r="AW604" s="39"/>
      <c r="AX604" s="26"/>
      <c r="AY604" s="26"/>
      <c r="AZ604" s="45"/>
      <c r="BA604" s="45"/>
    </row>
    <row r="605" spans="1:53" ht="15.75" customHeight="1" x14ac:dyDescent="0.2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39"/>
      <c r="AW605" s="39"/>
      <c r="AX605" s="26"/>
      <c r="AY605" s="26"/>
      <c r="AZ605" s="40"/>
      <c r="BA605" s="40"/>
    </row>
    <row r="606" spans="1:53" ht="15.75" customHeight="1" x14ac:dyDescent="0.25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39"/>
      <c r="AW606" s="39"/>
      <c r="AX606" s="26"/>
      <c r="AY606" s="26"/>
      <c r="AZ606" s="45"/>
      <c r="BA606" s="45"/>
    </row>
    <row r="607" spans="1:53" ht="15.75" customHeight="1" x14ac:dyDescent="0.25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39"/>
      <c r="AW607" s="39"/>
      <c r="AX607" s="26"/>
      <c r="AY607" s="26"/>
      <c r="AZ607" s="40"/>
      <c r="BA607" s="40"/>
    </row>
    <row r="608" spans="1:53" ht="15.75" customHeight="1" x14ac:dyDescent="0.25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39"/>
      <c r="AW608" s="39"/>
      <c r="AX608" s="26"/>
      <c r="AY608" s="26"/>
      <c r="AZ608" s="45"/>
      <c r="BA608" s="45"/>
    </row>
    <row r="609" spans="1:53" ht="15.75" customHeight="1" x14ac:dyDescent="0.25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39"/>
      <c r="AW609" s="39"/>
      <c r="AX609" s="26"/>
      <c r="AY609" s="26"/>
      <c r="AZ609" s="40"/>
      <c r="BA609" s="40"/>
    </row>
    <row r="610" spans="1:53" ht="15.75" customHeight="1" x14ac:dyDescent="0.25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39"/>
      <c r="AW610" s="39"/>
      <c r="AX610" s="26"/>
      <c r="AY610" s="26"/>
      <c r="AZ610" s="45"/>
      <c r="BA610" s="45"/>
    </row>
    <row r="611" spans="1:53" ht="15.75" customHeight="1" x14ac:dyDescent="0.25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39"/>
      <c r="AW611" s="39"/>
      <c r="AX611" s="26"/>
      <c r="AY611" s="26"/>
      <c r="AZ611" s="40"/>
      <c r="BA611" s="40"/>
    </row>
    <row r="612" spans="1:53" ht="15.75" customHeight="1" x14ac:dyDescent="0.25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39"/>
      <c r="AW612" s="39"/>
      <c r="AX612" s="26"/>
      <c r="AY612" s="26"/>
      <c r="AZ612" s="45"/>
      <c r="BA612" s="45"/>
    </row>
    <row r="613" spans="1:53" ht="15.75" customHeight="1" x14ac:dyDescent="0.25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39"/>
      <c r="AW613" s="39"/>
      <c r="AX613" s="26"/>
      <c r="AY613" s="26"/>
      <c r="AZ613" s="40"/>
      <c r="BA613" s="40"/>
    </row>
    <row r="614" spans="1:53" ht="15.75" customHeight="1" x14ac:dyDescent="0.25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39"/>
      <c r="AW614" s="39"/>
      <c r="AX614" s="26"/>
      <c r="AY614" s="26"/>
      <c r="AZ614" s="45"/>
      <c r="BA614" s="45"/>
    </row>
    <row r="615" spans="1:53" ht="15.75" customHeight="1" x14ac:dyDescent="0.2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39"/>
      <c r="AW615" s="39"/>
      <c r="AX615" s="26"/>
      <c r="AY615" s="26"/>
      <c r="AZ615" s="40"/>
      <c r="BA615" s="40"/>
    </row>
    <row r="616" spans="1:53" ht="15.75" customHeight="1" x14ac:dyDescent="0.25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39"/>
      <c r="AW616" s="39"/>
      <c r="AX616" s="26"/>
      <c r="AY616" s="26"/>
      <c r="AZ616" s="45"/>
      <c r="BA616" s="45"/>
    </row>
    <row r="617" spans="1:53" ht="15.75" customHeight="1" x14ac:dyDescent="0.25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39"/>
      <c r="AW617" s="39"/>
      <c r="AX617" s="26"/>
      <c r="AY617" s="26"/>
      <c r="AZ617" s="40"/>
      <c r="BA617" s="40"/>
    </row>
    <row r="618" spans="1:53" ht="15.75" customHeight="1" x14ac:dyDescent="0.25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39"/>
      <c r="AW618" s="39"/>
      <c r="AX618" s="26"/>
      <c r="AY618" s="26"/>
      <c r="AZ618" s="45"/>
      <c r="BA618" s="45"/>
    </row>
    <row r="619" spans="1:53" ht="15.75" customHeight="1" x14ac:dyDescent="0.25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39"/>
      <c r="AW619" s="39"/>
      <c r="AX619" s="26"/>
      <c r="AY619" s="26"/>
      <c r="AZ619" s="40"/>
      <c r="BA619" s="40"/>
    </row>
    <row r="620" spans="1:53" ht="15.75" customHeight="1" x14ac:dyDescent="0.25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39"/>
      <c r="AW620" s="39"/>
      <c r="AX620" s="26"/>
      <c r="AY620" s="26"/>
      <c r="AZ620" s="45"/>
      <c r="BA620" s="45"/>
    </row>
    <row r="621" spans="1:53" ht="15.75" customHeight="1" x14ac:dyDescent="0.25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39"/>
      <c r="AW621" s="39"/>
      <c r="AX621" s="26"/>
      <c r="AY621" s="26"/>
      <c r="AZ621" s="40"/>
      <c r="BA621" s="40"/>
    </row>
    <row r="622" spans="1:53" ht="15.75" customHeight="1" x14ac:dyDescent="0.25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39"/>
      <c r="AW622" s="39"/>
      <c r="AX622" s="26"/>
      <c r="AY622" s="26"/>
      <c r="AZ622" s="45"/>
      <c r="BA622" s="45"/>
    </row>
    <row r="623" spans="1:53" ht="15.75" customHeight="1" x14ac:dyDescent="0.25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39"/>
      <c r="AW623" s="39"/>
      <c r="AX623" s="26"/>
      <c r="AY623" s="26"/>
      <c r="AZ623" s="40"/>
      <c r="BA623" s="40"/>
    </row>
    <row r="624" spans="1:53" ht="15.75" customHeight="1" x14ac:dyDescent="0.25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39"/>
      <c r="AW624" s="39"/>
      <c r="AX624" s="26"/>
      <c r="AY624" s="26"/>
      <c r="AZ624" s="45"/>
      <c r="BA624" s="45"/>
    </row>
    <row r="625" spans="1:53" ht="15.75" customHeight="1" x14ac:dyDescent="0.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39"/>
      <c r="AW625" s="39"/>
      <c r="AX625" s="26"/>
      <c r="AY625" s="26"/>
      <c r="AZ625" s="40"/>
      <c r="BA625" s="40"/>
    </row>
    <row r="626" spans="1:53" ht="15.75" customHeight="1" x14ac:dyDescent="0.25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39"/>
      <c r="AW626" s="39"/>
      <c r="AX626" s="26"/>
      <c r="AY626" s="26"/>
      <c r="AZ626" s="45"/>
      <c r="BA626" s="45"/>
    </row>
    <row r="627" spans="1:53" ht="15.75" customHeight="1" x14ac:dyDescent="0.25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39"/>
      <c r="AW627" s="39"/>
      <c r="AX627" s="26"/>
      <c r="AY627" s="26"/>
      <c r="AZ627" s="40"/>
      <c r="BA627" s="40"/>
    </row>
    <row r="628" spans="1:53" ht="15.75" customHeight="1" x14ac:dyDescent="0.25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39"/>
      <c r="AW628" s="39"/>
      <c r="AX628" s="26"/>
      <c r="AY628" s="26"/>
      <c r="AZ628" s="45"/>
      <c r="BA628" s="45"/>
    </row>
    <row r="629" spans="1:53" ht="15.75" customHeight="1" x14ac:dyDescent="0.25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39"/>
      <c r="AW629" s="39"/>
      <c r="AX629" s="26"/>
      <c r="AY629" s="26"/>
      <c r="AZ629" s="40"/>
      <c r="BA629" s="40"/>
    </row>
    <row r="630" spans="1:53" ht="15.75" customHeight="1" x14ac:dyDescent="0.25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39"/>
      <c r="AW630" s="39"/>
      <c r="AX630" s="26"/>
      <c r="AY630" s="26"/>
      <c r="AZ630" s="45"/>
      <c r="BA630" s="45"/>
    </row>
    <row r="631" spans="1:53" ht="15.75" customHeight="1" x14ac:dyDescent="0.25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39"/>
      <c r="AW631" s="39"/>
      <c r="AX631" s="26"/>
      <c r="AY631" s="26"/>
      <c r="AZ631" s="40"/>
      <c r="BA631" s="40"/>
    </row>
    <row r="632" spans="1:53" ht="15.75" customHeight="1" x14ac:dyDescent="0.25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39"/>
      <c r="AW632" s="39"/>
      <c r="AX632" s="26"/>
      <c r="AY632" s="26"/>
      <c r="AZ632" s="45"/>
      <c r="BA632" s="45"/>
    </row>
    <row r="633" spans="1:53" ht="15.75" customHeight="1" x14ac:dyDescent="0.25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39"/>
      <c r="AW633" s="39"/>
      <c r="AX633" s="26"/>
      <c r="AY633" s="26"/>
      <c r="AZ633" s="40"/>
      <c r="BA633" s="40"/>
    </row>
    <row r="634" spans="1:53" ht="15.75" customHeight="1" x14ac:dyDescent="0.25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39"/>
      <c r="AW634" s="39"/>
      <c r="AX634" s="26"/>
      <c r="AY634" s="26"/>
      <c r="AZ634" s="45"/>
      <c r="BA634" s="45"/>
    </row>
    <row r="635" spans="1:53" ht="15.75" customHeight="1" x14ac:dyDescent="0.2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39"/>
      <c r="AW635" s="39"/>
      <c r="AX635" s="26"/>
      <c r="AY635" s="26"/>
      <c r="AZ635" s="40"/>
      <c r="BA635" s="40"/>
    </row>
    <row r="636" spans="1:53" ht="15.75" customHeight="1" x14ac:dyDescent="0.25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39"/>
      <c r="AW636" s="39"/>
      <c r="AX636" s="26"/>
      <c r="AY636" s="26"/>
      <c r="AZ636" s="45"/>
      <c r="BA636" s="45"/>
    </row>
    <row r="637" spans="1:53" ht="15.75" customHeight="1" x14ac:dyDescent="0.25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39"/>
      <c r="AW637" s="39"/>
      <c r="AX637" s="26"/>
      <c r="AY637" s="26"/>
      <c r="AZ637" s="40"/>
      <c r="BA637" s="40"/>
    </row>
    <row r="638" spans="1:53" ht="15.75" customHeight="1" x14ac:dyDescent="0.25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39"/>
      <c r="AW638" s="39"/>
      <c r="AX638" s="26"/>
      <c r="AY638" s="26"/>
      <c r="AZ638" s="45"/>
      <c r="BA638" s="45"/>
    </row>
    <row r="639" spans="1:53" ht="15.75" customHeight="1" x14ac:dyDescent="0.25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39"/>
      <c r="AW639" s="39"/>
      <c r="AX639" s="26"/>
      <c r="AY639" s="26"/>
      <c r="AZ639" s="40"/>
      <c r="BA639" s="40"/>
    </row>
    <row r="640" spans="1:53" ht="15.75" customHeight="1" x14ac:dyDescent="0.25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39"/>
      <c r="AW640" s="39"/>
      <c r="AX640" s="26"/>
      <c r="AY640" s="26"/>
      <c r="AZ640" s="45"/>
      <c r="BA640" s="45"/>
    </row>
    <row r="641" spans="1:53" ht="15.75" customHeight="1" x14ac:dyDescent="0.25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39"/>
      <c r="AW641" s="39"/>
      <c r="AX641" s="26"/>
      <c r="AY641" s="26"/>
      <c r="AZ641" s="40"/>
      <c r="BA641" s="40"/>
    </row>
    <row r="642" spans="1:53" ht="15.75" customHeight="1" x14ac:dyDescent="0.25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39"/>
      <c r="AW642" s="39"/>
      <c r="AX642" s="26"/>
      <c r="AY642" s="26"/>
      <c r="AZ642" s="45"/>
      <c r="BA642" s="45"/>
    </row>
    <row r="643" spans="1:53" ht="15.75" customHeight="1" x14ac:dyDescent="0.25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39"/>
      <c r="AW643" s="39"/>
      <c r="AX643" s="26"/>
      <c r="AY643" s="26"/>
      <c r="AZ643" s="40"/>
      <c r="BA643" s="40"/>
    </row>
    <row r="644" spans="1:53" ht="15.75" customHeight="1" x14ac:dyDescent="0.25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39"/>
      <c r="AW644" s="39"/>
      <c r="AX644" s="26"/>
      <c r="AY644" s="26"/>
      <c r="AZ644" s="45"/>
      <c r="BA644" s="45"/>
    </row>
    <row r="645" spans="1:53" ht="15.75" customHeight="1" x14ac:dyDescent="0.2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39"/>
      <c r="AW645" s="39"/>
      <c r="AX645" s="26"/>
      <c r="AY645" s="26"/>
      <c r="AZ645" s="40"/>
      <c r="BA645" s="40"/>
    </row>
    <row r="646" spans="1:53" ht="15.75" customHeight="1" x14ac:dyDescent="0.25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39"/>
      <c r="AW646" s="39"/>
      <c r="AX646" s="26"/>
      <c r="AY646" s="26"/>
      <c r="AZ646" s="45"/>
      <c r="BA646" s="45"/>
    </row>
    <row r="647" spans="1:53" ht="15.75" customHeight="1" x14ac:dyDescent="0.25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39"/>
      <c r="AW647" s="39"/>
      <c r="AX647" s="26"/>
      <c r="AY647" s="26"/>
      <c r="AZ647" s="40"/>
      <c r="BA647" s="40"/>
    </row>
    <row r="648" spans="1:53" ht="15.75" customHeight="1" x14ac:dyDescent="0.25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39"/>
      <c r="AW648" s="39"/>
      <c r="AX648" s="26"/>
      <c r="AY648" s="26"/>
      <c r="AZ648" s="45"/>
      <c r="BA648" s="45"/>
    </row>
    <row r="649" spans="1:53" ht="15.75" customHeight="1" x14ac:dyDescent="0.25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39"/>
      <c r="AW649" s="39"/>
      <c r="AX649" s="26"/>
      <c r="AY649" s="26"/>
      <c r="AZ649" s="40"/>
      <c r="BA649" s="40"/>
    </row>
    <row r="650" spans="1:53" ht="15.75" customHeight="1" x14ac:dyDescent="0.25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39"/>
      <c r="AW650" s="39"/>
      <c r="AX650" s="26"/>
      <c r="AY650" s="26"/>
      <c r="AZ650" s="45"/>
      <c r="BA650" s="45"/>
    </row>
    <row r="651" spans="1:53" ht="15.75" customHeight="1" x14ac:dyDescent="0.25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39"/>
      <c r="AW651" s="39"/>
      <c r="AX651" s="26"/>
      <c r="AY651" s="26"/>
      <c r="AZ651" s="40"/>
      <c r="BA651" s="40"/>
    </row>
    <row r="652" spans="1:53" ht="15.75" customHeight="1" x14ac:dyDescent="0.25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39"/>
      <c r="AW652" s="39"/>
      <c r="AX652" s="26"/>
      <c r="AY652" s="26"/>
      <c r="AZ652" s="45"/>
      <c r="BA652" s="45"/>
    </row>
    <row r="653" spans="1:53" ht="15.75" customHeight="1" x14ac:dyDescent="0.25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39"/>
      <c r="AW653" s="39"/>
      <c r="AX653" s="26"/>
      <c r="AY653" s="26"/>
      <c r="AZ653" s="40"/>
      <c r="BA653" s="40"/>
    </row>
    <row r="654" spans="1:53" ht="15.75" customHeight="1" x14ac:dyDescent="0.25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39"/>
      <c r="AW654" s="39"/>
      <c r="AX654" s="26"/>
      <c r="AY654" s="26"/>
      <c r="AZ654" s="45"/>
      <c r="BA654" s="45"/>
    </row>
    <row r="655" spans="1:53" ht="15.75" customHeight="1" x14ac:dyDescent="0.2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39"/>
      <c r="AW655" s="39"/>
      <c r="AX655" s="26"/>
      <c r="AY655" s="26"/>
      <c r="AZ655" s="40"/>
      <c r="BA655" s="40"/>
    </row>
    <row r="656" spans="1:53" ht="15.75" customHeight="1" x14ac:dyDescent="0.25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39"/>
      <c r="AW656" s="39"/>
      <c r="AX656" s="26"/>
      <c r="AY656" s="26"/>
      <c r="AZ656" s="45"/>
      <c r="BA656" s="45"/>
    </row>
    <row r="657" spans="1:53" ht="15.75" customHeight="1" x14ac:dyDescent="0.25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39"/>
      <c r="AW657" s="39"/>
      <c r="AX657" s="26"/>
      <c r="AY657" s="26"/>
      <c r="AZ657" s="40"/>
      <c r="BA657" s="40"/>
    </row>
    <row r="658" spans="1:53" ht="15.75" customHeight="1" x14ac:dyDescent="0.25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39"/>
      <c r="AW658" s="39"/>
      <c r="AX658" s="26"/>
      <c r="AY658" s="26"/>
      <c r="AZ658" s="45"/>
      <c r="BA658" s="45"/>
    </row>
    <row r="659" spans="1:53" ht="15.75" customHeight="1" x14ac:dyDescent="0.25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39"/>
      <c r="AW659" s="39"/>
      <c r="AX659" s="26"/>
      <c r="AY659" s="26"/>
      <c r="AZ659" s="40"/>
      <c r="BA659" s="40"/>
    </row>
    <row r="660" spans="1:53" ht="15.75" customHeight="1" x14ac:dyDescent="0.25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39"/>
      <c r="AW660" s="39"/>
      <c r="AX660" s="26"/>
      <c r="AY660" s="26"/>
      <c r="AZ660" s="45"/>
      <c r="BA660" s="45"/>
    </row>
    <row r="661" spans="1:53" ht="15.75" customHeight="1" x14ac:dyDescent="0.25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39"/>
      <c r="AW661" s="39"/>
      <c r="AX661" s="26"/>
      <c r="AY661" s="26"/>
      <c r="AZ661" s="40"/>
      <c r="BA661" s="40"/>
    </row>
    <row r="662" spans="1:53" ht="15.75" customHeight="1" x14ac:dyDescent="0.25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39"/>
      <c r="AW662" s="39"/>
      <c r="AX662" s="26"/>
      <c r="AY662" s="26"/>
      <c r="AZ662" s="45"/>
      <c r="BA662" s="45"/>
    </row>
    <row r="663" spans="1:53" ht="15.75" customHeight="1" x14ac:dyDescent="0.25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39"/>
      <c r="AW663" s="39"/>
      <c r="AX663" s="26"/>
      <c r="AY663" s="26"/>
      <c r="AZ663" s="40"/>
      <c r="BA663" s="40"/>
    </row>
    <row r="664" spans="1:53" ht="15.75" customHeight="1" x14ac:dyDescent="0.25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39"/>
      <c r="AW664" s="39"/>
      <c r="AX664" s="26"/>
      <c r="AY664" s="26"/>
      <c r="AZ664" s="45"/>
      <c r="BA664" s="45"/>
    </row>
    <row r="665" spans="1:53" ht="15.75" customHeight="1" x14ac:dyDescent="0.2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39"/>
      <c r="AW665" s="39"/>
      <c r="AX665" s="26"/>
      <c r="AY665" s="26"/>
      <c r="AZ665" s="40"/>
      <c r="BA665" s="40"/>
    </row>
    <row r="666" spans="1:53" ht="15.75" customHeight="1" x14ac:dyDescent="0.25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39"/>
      <c r="AW666" s="39"/>
      <c r="AX666" s="26"/>
      <c r="AY666" s="26"/>
      <c r="AZ666" s="45"/>
      <c r="BA666" s="45"/>
    </row>
    <row r="667" spans="1:53" ht="15.75" customHeight="1" x14ac:dyDescent="0.25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39"/>
      <c r="AW667" s="39"/>
      <c r="AX667" s="26"/>
      <c r="AY667" s="26"/>
      <c r="AZ667" s="40"/>
      <c r="BA667" s="40"/>
    </row>
    <row r="668" spans="1:53" ht="15.75" customHeight="1" x14ac:dyDescent="0.25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39"/>
      <c r="AW668" s="39"/>
      <c r="AX668" s="26"/>
      <c r="AY668" s="26"/>
      <c r="AZ668" s="45"/>
      <c r="BA668" s="45"/>
    </row>
    <row r="669" spans="1:53" ht="15.75" customHeight="1" x14ac:dyDescent="0.25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39"/>
      <c r="AW669" s="39"/>
      <c r="AX669" s="26"/>
      <c r="AY669" s="26"/>
      <c r="AZ669" s="40"/>
      <c r="BA669" s="40"/>
    </row>
    <row r="670" spans="1:53" ht="15.75" customHeight="1" x14ac:dyDescent="0.25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39"/>
      <c r="AW670" s="39"/>
      <c r="AX670" s="26"/>
      <c r="AY670" s="26"/>
      <c r="AZ670" s="45"/>
      <c r="BA670" s="45"/>
    </row>
    <row r="671" spans="1:53" ht="15.75" customHeight="1" x14ac:dyDescent="0.25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39"/>
      <c r="AW671" s="39"/>
      <c r="AX671" s="26"/>
      <c r="AY671" s="26"/>
      <c r="AZ671" s="40"/>
      <c r="BA671" s="40"/>
    </row>
    <row r="672" spans="1:53" ht="15.75" customHeight="1" x14ac:dyDescent="0.25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39"/>
      <c r="AW672" s="39"/>
      <c r="AX672" s="26"/>
      <c r="AY672" s="26"/>
      <c r="AZ672" s="45"/>
      <c r="BA672" s="45"/>
    </row>
    <row r="673" spans="1:53" ht="15.75" customHeight="1" x14ac:dyDescent="0.25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39"/>
      <c r="AW673" s="39"/>
      <c r="AX673" s="26"/>
      <c r="AY673" s="26"/>
      <c r="AZ673" s="40"/>
      <c r="BA673" s="40"/>
    </row>
    <row r="674" spans="1:53" ht="15.75" customHeight="1" x14ac:dyDescent="0.25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39"/>
      <c r="AW674" s="39"/>
      <c r="AX674" s="26"/>
      <c r="AY674" s="26"/>
      <c r="AZ674" s="45"/>
      <c r="BA674" s="45"/>
    </row>
    <row r="675" spans="1:53" ht="15.75" customHeight="1" x14ac:dyDescent="0.2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39"/>
      <c r="AW675" s="39"/>
      <c r="AX675" s="26"/>
      <c r="AY675" s="26"/>
      <c r="AZ675" s="40"/>
      <c r="BA675" s="40"/>
    </row>
    <row r="676" spans="1:53" ht="15.75" customHeight="1" x14ac:dyDescent="0.25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39"/>
      <c r="AW676" s="39"/>
      <c r="AX676" s="26"/>
      <c r="AY676" s="26"/>
      <c r="AZ676" s="45"/>
      <c r="BA676" s="45"/>
    </row>
    <row r="677" spans="1:53" ht="15.75" customHeight="1" x14ac:dyDescent="0.25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39"/>
      <c r="AW677" s="39"/>
      <c r="AX677" s="26"/>
      <c r="AY677" s="26"/>
      <c r="AZ677" s="40"/>
      <c r="BA677" s="40"/>
    </row>
    <row r="678" spans="1:53" ht="15.75" customHeight="1" x14ac:dyDescent="0.25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39"/>
      <c r="AW678" s="39"/>
      <c r="AX678" s="26"/>
      <c r="AY678" s="26"/>
      <c r="AZ678" s="45"/>
      <c r="BA678" s="45"/>
    </row>
    <row r="679" spans="1:53" ht="15.75" customHeight="1" x14ac:dyDescent="0.25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39"/>
      <c r="AW679" s="39"/>
      <c r="AX679" s="26"/>
      <c r="AY679" s="26"/>
      <c r="AZ679" s="40"/>
      <c r="BA679" s="40"/>
    </row>
    <row r="680" spans="1:53" ht="15.75" customHeight="1" x14ac:dyDescent="0.25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39"/>
      <c r="AW680" s="39"/>
      <c r="AX680" s="26"/>
      <c r="AY680" s="26"/>
      <c r="AZ680" s="45"/>
      <c r="BA680" s="45"/>
    </row>
    <row r="681" spans="1:53" ht="15.75" customHeight="1" x14ac:dyDescent="0.25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39"/>
      <c r="AW681" s="39"/>
      <c r="AX681" s="26"/>
      <c r="AY681" s="26"/>
      <c r="AZ681" s="40"/>
      <c r="BA681" s="40"/>
    </row>
    <row r="682" spans="1:53" ht="15.75" customHeight="1" x14ac:dyDescent="0.25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39"/>
      <c r="AW682" s="39"/>
      <c r="AX682" s="26"/>
      <c r="AY682" s="26"/>
      <c r="AZ682" s="45"/>
      <c r="BA682" s="45"/>
    </row>
    <row r="683" spans="1:53" ht="15.75" customHeight="1" x14ac:dyDescent="0.25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39"/>
      <c r="AW683" s="39"/>
      <c r="AX683" s="26"/>
      <c r="AY683" s="26"/>
      <c r="AZ683" s="40"/>
      <c r="BA683" s="40"/>
    </row>
    <row r="684" spans="1:53" ht="15.75" customHeight="1" x14ac:dyDescent="0.25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39"/>
      <c r="AW684" s="39"/>
      <c r="AX684" s="26"/>
      <c r="AY684" s="26"/>
      <c r="AZ684" s="45"/>
      <c r="BA684" s="45"/>
    </row>
    <row r="685" spans="1:53" ht="15.75" customHeight="1" x14ac:dyDescent="0.2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39"/>
      <c r="AW685" s="39"/>
      <c r="AX685" s="26"/>
      <c r="AY685" s="26"/>
      <c r="AZ685" s="40"/>
      <c r="BA685" s="40"/>
    </row>
    <row r="686" spans="1:53" ht="15.75" customHeight="1" x14ac:dyDescent="0.25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39"/>
      <c r="AW686" s="39"/>
      <c r="AX686" s="26"/>
      <c r="AY686" s="26"/>
      <c r="AZ686" s="45"/>
      <c r="BA686" s="45"/>
    </row>
    <row r="687" spans="1:53" ht="15.75" customHeight="1" x14ac:dyDescent="0.25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39"/>
      <c r="AW687" s="39"/>
      <c r="AX687" s="26"/>
      <c r="AY687" s="26"/>
      <c r="AZ687" s="40"/>
      <c r="BA687" s="40"/>
    </row>
    <row r="688" spans="1:53" ht="15.75" customHeight="1" x14ac:dyDescent="0.25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39"/>
      <c r="AW688" s="39"/>
      <c r="AX688" s="26"/>
      <c r="AY688" s="26"/>
      <c r="AZ688" s="45"/>
      <c r="BA688" s="45"/>
    </row>
    <row r="689" spans="1:53" ht="15.75" customHeight="1" x14ac:dyDescent="0.25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39"/>
      <c r="AW689" s="39"/>
      <c r="AX689" s="26"/>
      <c r="AY689" s="26"/>
      <c r="AZ689" s="40"/>
      <c r="BA689" s="40"/>
    </row>
    <row r="690" spans="1:53" ht="15.75" customHeight="1" x14ac:dyDescent="0.25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39"/>
      <c r="AW690" s="39"/>
      <c r="AX690" s="26"/>
      <c r="AY690" s="26"/>
      <c r="AZ690" s="45"/>
      <c r="BA690" s="45"/>
    </row>
    <row r="691" spans="1:53" ht="15.75" customHeight="1" x14ac:dyDescent="0.25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39"/>
      <c r="AW691" s="39"/>
      <c r="AX691" s="26"/>
      <c r="AY691" s="26"/>
      <c r="AZ691" s="40"/>
      <c r="BA691" s="40"/>
    </row>
    <row r="692" spans="1:53" ht="15.75" customHeight="1" x14ac:dyDescent="0.25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39"/>
      <c r="AW692" s="39"/>
      <c r="AX692" s="26"/>
      <c r="AY692" s="26"/>
      <c r="AZ692" s="45"/>
      <c r="BA692" s="45"/>
    </row>
    <row r="693" spans="1:53" ht="15.75" customHeight="1" x14ac:dyDescent="0.25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39"/>
      <c r="AW693" s="39"/>
      <c r="AX693" s="26"/>
      <c r="AY693" s="26"/>
      <c r="AZ693" s="40"/>
      <c r="BA693" s="40"/>
    </row>
    <row r="694" spans="1:53" ht="15.75" customHeight="1" x14ac:dyDescent="0.25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39"/>
      <c r="AW694" s="39"/>
      <c r="AX694" s="26"/>
      <c r="AY694" s="26"/>
      <c r="AZ694" s="45"/>
      <c r="BA694" s="45"/>
    </row>
    <row r="695" spans="1:53" ht="15.75" customHeight="1" x14ac:dyDescent="0.2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39"/>
      <c r="AW695" s="39"/>
      <c r="AX695" s="26"/>
      <c r="AY695" s="26"/>
      <c r="AZ695" s="40"/>
      <c r="BA695" s="40"/>
    </row>
    <row r="696" spans="1:53" ht="15.75" customHeight="1" x14ac:dyDescent="0.25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39"/>
      <c r="AW696" s="39"/>
      <c r="AX696" s="26"/>
      <c r="AY696" s="26"/>
      <c r="AZ696" s="45"/>
      <c r="BA696" s="45"/>
    </row>
    <row r="697" spans="1:53" ht="15.75" customHeight="1" x14ac:dyDescent="0.25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39"/>
      <c r="AW697" s="39"/>
      <c r="AX697" s="26"/>
      <c r="AY697" s="26"/>
      <c r="AZ697" s="40"/>
      <c r="BA697" s="40"/>
    </row>
    <row r="698" spans="1:53" ht="15.75" customHeight="1" x14ac:dyDescent="0.25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39"/>
      <c r="AW698" s="39"/>
      <c r="AX698" s="26"/>
      <c r="AY698" s="26"/>
      <c r="AZ698" s="45"/>
      <c r="BA698" s="45"/>
    </row>
    <row r="699" spans="1:53" ht="15.75" customHeight="1" x14ac:dyDescent="0.25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39"/>
      <c r="AW699" s="39"/>
      <c r="AX699" s="26"/>
      <c r="AY699" s="26"/>
      <c r="AZ699" s="40"/>
      <c r="BA699" s="40"/>
    </row>
    <row r="700" spans="1:53" ht="15.75" customHeight="1" x14ac:dyDescent="0.25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39"/>
      <c r="AW700" s="39"/>
      <c r="AX700" s="26"/>
      <c r="AY700" s="26"/>
      <c r="AZ700" s="45"/>
      <c r="BA700" s="45"/>
    </row>
    <row r="701" spans="1:53" ht="15.75" customHeight="1" x14ac:dyDescent="0.25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39"/>
      <c r="AW701" s="39"/>
      <c r="AX701" s="26"/>
      <c r="AY701" s="26"/>
      <c r="AZ701" s="40"/>
      <c r="BA701" s="40"/>
    </row>
    <row r="702" spans="1:53" ht="15.75" customHeight="1" x14ac:dyDescent="0.25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39"/>
      <c r="AW702" s="39"/>
      <c r="AX702" s="26"/>
      <c r="AY702" s="26"/>
      <c r="AZ702" s="45"/>
      <c r="BA702" s="45"/>
    </row>
    <row r="703" spans="1:53" ht="15.75" customHeight="1" x14ac:dyDescent="0.25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39"/>
      <c r="AW703" s="39"/>
      <c r="AX703" s="26"/>
      <c r="AY703" s="26"/>
      <c r="AZ703" s="40"/>
      <c r="BA703" s="40"/>
    </row>
    <row r="704" spans="1:53" ht="15.75" customHeight="1" x14ac:dyDescent="0.25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39"/>
      <c r="AW704" s="39"/>
      <c r="AX704" s="26"/>
      <c r="AY704" s="26"/>
      <c r="AZ704" s="45"/>
      <c r="BA704" s="45"/>
    </row>
    <row r="705" spans="1:53" ht="15.75" customHeight="1" x14ac:dyDescent="0.2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39"/>
      <c r="AW705" s="39"/>
      <c r="AX705" s="26"/>
      <c r="AY705" s="26"/>
      <c r="AZ705" s="40"/>
      <c r="BA705" s="40"/>
    </row>
    <row r="706" spans="1:53" ht="15.75" customHeight="1" x14ac:dyDescent="0.25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39"/>
      <c r="AW706" s="39"/>
      <c r="AX706" s="26"/>
      <c r="AY706" s="26"/>
      <c r="AZ706" s="45"/>
      <c r="BA706" s="45"/>
    </row>
    <row r="707" spans="1:53" ht="15.75" customHeight="1" x14ac:dyDescent="0.25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39"/>
      <c r="AW707" s="39"/>
      <c r="AX707" s="26"/>
      <c r="AY707" s="26"/>
      <c r="AZ707" s="40"/>
      <c r="BA707" s="40"/>
    </row>
    <row r="708" spans="1:53" ht="15.75" customHeight="1" x14ac:dyDescent="0.25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39"/>
      <c r="AW708" s="39"/>
      <c r="AX708" s="26"/>
      <c r="AY708" s="26"/>
      <c r="AZ708" s="45"/>
      <c r="BA708" s="45"/>
    </row>
    <row r="709" spans="1:53" ht="15.75" customHeight="1" x14ac:dyDescent="0.25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39"/>
      <c r="AW709" s="39"/>
      <c r="AX709" s="26"/>
      <c r="AY709" s="26"/>
      <c r="AZ709" s="40"/>
      <c r="BA709" s="40"/>
    </row>
    <row r="710" spans="1:53" ht="15.75" customHeight="1" x14ac:dyDescent="0.25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39"/>
      <c r="AW710" s="39"/>
      <c r="AX710" s="26"/>
      <c r="AY710" s="26"/>
      <c r="AZ710" s="45"/>
      <c r="BA710" s="45"/>
    </row>
    <row r="711" spans="1:53" ht="15.75" customHeight="1" x14ac:dyDescent="0.25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39"/>
      <c r="AW711" s="39"/>
      <c r="AX711" s="26"/>
      <c r="AY711" s="26"/>
      <c r="AZ711" s="40"/>
      <c r="BA711" s="40"/>
    </row>
    <row r="712" spans="1:53" ht="15.75" customHeight="1" x14ac:dyDescent="0.25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39"/>
      <c r="AW712" s="39"/>
      <c r="AX712" s="26"/>
      <c r="AY712" s="26"/>
      <c r="AZ712" s="45"/>
      <c r="BA712" s="45"/>
    </row>
    <row r="713" spans="1:53" ht="15.75" customHeight="1" x14ac:dyDescent="0.25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39"/>
      <c r="AW713" s="39"/>
      <c r="AX713" s="26"/>
      <c r="AY713" s="26"/>
      <c r="AZ713" s="40"/>
      <c r="BA713" s="40"/>
    </row>
    <row r="714" spans="1:53" ht="15.75" customHeight="1" x14ac:dyDescent="0.25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39"/>
      <c r="AW714" s="39"/>
      <c r="AX714" s="26"/>
      <c r="AY714" s="26"/>
      <c r="AZ714" s="45"/>
      <c r="BA714" s="45"/>
    </row>
    <row r="715" spans="1:53" ht="15.75" customHeight="1" x14ac:dyDescent="0.2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39"/>
      <c r="AW715" s="39"/>
      <c r="AX715" s="26"/>
      <c r="AY715" s="26"/>
      <c r="AZ715" s="40"/>
      <c r="BA715" s="40"/>
    </row>
    <row r="716" spans="1:53" ht="15.75" customHeight="1" x14ac:dyDescent="0.25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39"/>
      <c r="AW716" s="39"/>
      <c r="AX716" s="26"/>
      <c r="AY716" s="26"/>
      <c r="AZ716" s="45"/>
      <c r="BA716" s="45"/>
    </row>
    <row r="717" spans="1:53" ht="15.75" customHeight="1" x14ac:dyDescent="0.25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39"/>
      <c r="AW717" s="39"/>
      <c r="AX717" s="26"/>
      <c r="AY717" s="26"/>
      <c r="AZ717" s="40"/>
      <c r="BA717" s="40"/>
    </row>
    <row r="718" spans="1:53" ht="15.75" customHeight="1" x14ac:dyDescent="0.25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39"/>
      <c r="AW718" s="39"/>
      <c r="AX718" s="26"/>
      <c r="AY718" s="26"/>
      <c r="AZ718" s="45"/>
      <c r="BA718" s="45"/>
    </row>
    <row r="719" spans="1:53" ht="15.75" customHeight="1" x14ac:dyDescent="0.25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39"/>
      <c r="AW719" s="39"/>
      <c r="AX719" s="26"/>
      <c r="AY719" s="26"/>
      <c r="AZ719" s="40"/>
      <c r="BA719" s="40"/>
    </row>
    <row r="720" spans="1:53" ht="15.75" customHeight="1" x14ac:dyDescent="0.25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39"/>
      <c r="AW720" s="39"/>
      <c r="AX720" s="26"/>
      <c r="AY720" s="26"/>
      <c r="AZ720" s="45"/>
      <c r="BA720" s="45"/>
    </row>
    <row r="721" spans="1:53" ht="15.75" customHeight="1" x14ac:dyDescent="0.25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39"/>
      <c r="AW721" s="39"/>
      <c r="AX721" s="26"/>
      <c r="AY721" s="26"/>
      <c r="AZ721" s="40"/>
      <c r="BA721" s="40"/>
    </row>
    <row r="722" spans="1:53" ht="15.75" customHeight="1" x14ac:dyDescent="0.25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39"/>
      <c r="AW722" s="39"/>
      <c r="AX722" s="26"/>
      <c r="AY722" s="26"/>
      <c r="AZ722" s="45"/>
      <c r="BA722" s="45"/>
    </row>
    <row r="723" spans="1:53" ht="15.75" customHeight="1" x14ac:dyDescent="0.25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39"/>
      <c r="AW723" s="39"/>
      <c r="AX723" s="26"/>
      <c r="AY723" s="26"/>
      <c r="AZ723" s="40"/>
      <c r="BA723" s="40"/>
    </row>
    <row r="724" spans="1:53" ht="15.75" customHeight="1" x14ac:dyDescent="0.25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39"/>
      <c r="AW724" s="39"/>
      <c r="AX724" s="26"/>
      <c r="AY724" s="26"/>
      <c r="AZ724" s="45"/>
      <c r="BA724" s="45"/>
    </row>
    <row r="725" spans="1:53" ht="15.75" customHeight="1" x14ac:dyDescent="0.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39"/>
      <c r="AW725" s="39"/>
      <c r="AX725" s="26"/>
      <c r="AY725" s="26"/>
      <c r="AZ725" s="40"/>
      <c r="BA725" s="40"/>
    </row>
    <row r="726" spans="1:53" ht="15.75" customHeight="1" x14ac:dyDescent="0.25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39"/>
      <c r="AW726" s="39"/>
      <c r="AX726" s="26"/>
      <c r="AY726" s="26"/>
      <c r="AZ726" s="45"/>
      <c r="BA726" s="45"/>
    </row>
    <row r="727" spans="1:53" ht="15.75" customHeight="1" x14ac:dyDescent="0.25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39"/>
      <c r="AW727" s="39"/>
      <c r="AX727" s="26"/>
      <c r="AY727" s="26"/>
      <c r="AZ727" s="40"/>
      <c r="BA727" s="40"/>
    </row>
    <row r="728" spans="1:53" ht="15.75" customHeight="1" x14ac:dyDescent="0.25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39"/>
      <c r="AW728" s="39"/>
      <c r="AX728" s="26"/>
      <c r="AY728" s="26"/>
      <c r="AZ728" s="45"/>
      <c r="BA728" s="45"/>
    </row>
    <row r="729" spans="1:53" ht="15.75" customHeight="1" x14ac:dyDescent="0.25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39"/>
      <c r="AW729" s="39"/>
      <c r="AX729" s="26"/>
      <c r="AY729" s="26"/>
      <c r="AZ729" s="40"/>
      <c r="BA729" s="40"/>
    </row>
    <row r="730" spans="1:53" ht="15.75" customHeight="1" x14ac:dyDescent="0.25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39"/>
      <c r="AW730" s="39"/>
      <c r="AX730" s="26"/>
      <c r="AY730" s="26"/>
      <c r="AZ730" s="45"/>
      <c r="BA730" s="45"/>
    </row>
    <row r="731" spans="1:53" ht="15.75" customHeight="1" x14ac:dyDescent="0.25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39"/>
      <c r="AW731" s="39"/>
      <c r="AX731" s="26"/>
      <c r="AY731" s="26"/>
      <c r="AZ731" s="40"/>
      <c r="BA731" s="40"/>
    </row>
    <row r="732" spans="1:53" ht="15.75" customHeight="1" x14ac:dyDescent="0.25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39"/>
      <c r="AW732" s="39"/>
      <c r="AX732" s="26"/>
      <c r="AY732" s="26"/>
      <c r="AZ732" s="45"/>
      <c r="BA732" s="45"/>
    </row>
    <row r="733" spans="1:53" ht="15.75" customHeight="1" x14ac:dyDescent="0.25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39"/>
      <c r="AW733" s="39"/>
      <c r="AX733" s="26"/>
      <c r="AY733" s="26"/>
      <c r="AZ733" s="40"/>
      <c r="BA733" s="40"/>
    </row>
    <row r="734" spans="1:53" ht="15.75" customHeight="1" x14ac:dyDescent="0.25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39"/>
      <c r="AW734" s="39"/>
      <c r="AX734" s="26"/>
      <c r="AY734" s="26"/>
      <c r="AZ734" s="45"/>
      <c r="BA734" s="45"/>
    </row>
    <row r="735" spans="1:53" ht="15.75" customHeight="1" x14ac:dyDescent="0.2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39"/>
      <c r="AW735" s="39"/>
      <c r="AX735" s="26"/>
      <c r="AY735" s="26"/>
      <c r="AZ735" s="40"/>
      <c r="BA735" s="40"/>
    </row>
    <row r="736" spans="1:53" ht="15.75" customHeight="1" x14ac:dyDescent="0.25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39"/>
      <c r="AW736" s="39"/>
      <c r="AX736" s="26"/>
      <c r="AY736" s="26"/>
      <c r="AZ736" s="45"/>
      <c r="BA736" s="45"/>
    </row>
    <row r="737" spans="1:53" ht="15.75" customHeight="1" x14ac:dyDescent="0.25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39"/>
      <c r="AW737" s="39"/>
      <c r="AX737" s="26"/>
      <c r="AY737" s="26"/>
      <c r="AZ737" s="40"/>
      <c r="BA737" s="40"/>
    </row>
    <row r="738" spans="1:53" ht="15.75" customHeight="1" x14ac:dyDescent="0.25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39"/>
      <c r="AW738" s="39"/>
      <c r="AX738" s="26"/>
      <c r="AY738" s="26"/>
      <c r="AZ738" s="45"/>
      <c r="BA738" s="45"/>
    </row>
    <row r="739" spans="1:53" ht="15.75" customHeight="1" x14ac:dyDescent="0.25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39"/>
      <c r="AW739" s="39"/>
      <c r="AX739" s="26"/>
      <c r="AY739" s="26"/>
      <c r="AZ739" s="40"/>
      <c r="BA739" s="40"/>
    </row>
    <row r="740" spans="1:53" ht="15.75" customHeight="1" x14ac:dyDescent="0.25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39"/>
      <c r="AW740" s="39"/>
      <c r="AX740" s="26"/>
      <c r="AY740" s="26"/>
      <c r="AZ740" s="45"/>
      <c r="BA740" s="45"/>
    </row>
    <row r="741" spans="1:53" ht="15.75" customHeight="1" x14ac:dyDescent="0.25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39"/>
      <c r="AW741" s="39"/>
      <c r="AX741" s="26"/>
      <c r="AY741" s="26"/>
      <c r="AZ741" s="40"/>
      <c r="BA741" s="40"/>
    </row>
    <row r="742" spans="1:53" ht="15.75" customHeight="1" x14ac:dyDescent="0.25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39"/>
      <c r="AW742" s="39"/>
      <c r="AX742" s="26"/>
      <c r="AY742" s="26"/>
      <c r="AZ742" s="45"/>
      <c r="BA742" s="45"/>
    </row>
    <row r="743" spans="1:53" ht="15.75" customHeight="1" x14ac:dyDescent="0.25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39"/>
      <c r="AW743" s="39"/>
      <c r="AX743" s="26"/>
      <c r="AY743" s="26"/>
      <c r="AZ743" s="40"/>
      <c r="BA743" s="40"/>
    </row>
    <row r="744" spans="1:53" ht="15.75" customHeight="1" x14ac:dyDescent="0.25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39"/>
      <c r="AW744" s="39"/>
      <c r="AX744" s="26"/>
      <c r="AY744" s="26"/>
      <c r="AZ744" s="45"/>
      <c r="BA744" s="45"/>
    </row>
    <row r="745" spans="1:53" ht="15.75" customHeight="1" x14ac:dyDescent="0.2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39"/>
      <c r="AW745" s="39"/>
      <c r="AX745" s="26"/>
      <c r="AY745" s="26"/>
      <c r="AZ745" s="40"/>
      <c r="BA745" s="40"/>
    </row>
    <row r="746" spans="1:53" ht="15.75" customHeight="1" x14ac:dyDescent="0.25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39"/>
      <c r="AW746" s="39"/>
      <c r="AX746" s="26"/>
      <c r="AY746" s="26"/>
      <c r="AZ746" s="45"/>
      <c r="BA746" s="45"/>
    </row>
    <row r="747" spans="1:53" ht="15.75" customHeight="1" x14ac:dyDescent="0.25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39"/>
      <c r="AW747" s="39"/>
      <c r="AX747" s="26"/>
      <c r="AY747" s="26"/>
      <c r="AZ747" s="40"/>
      <c r="BA747" s="40"/>
    </row>
    <row r="748" spans="1:53" ht="15.75" customHeight="1" x14ac:dyDescent="0.25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39"/>
      <c r="AW748" s="39"/>
      <c r="AX748" s="26"/>
      <c r="AY748" s="26"/>
      <c r="AZ748" s="45"/>
      <c r="BA748" s="45"/>
    </row>
    <row r="749" spans="1:53" ht="15.75" customHeight="1" x14ac:dyDescent="0.25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39"/>
      <c r="AW749" s="39"/>
      <c r="AX749" s="26"/>
      <c r="AY749" s="26"/>
      <c r="AZ749" s="40"/>
      <c r="BA749" s="40"/>
    </row>
    <row r="750" spans="1:53" ht="15.75" customHeight="1" x14ac:dyDescent="0.25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39"/>
      <c r="AW750" s="39"/>
      <c r="AX750" s="26"/>
      <c r="AY750" s="26"/>
      <c r="AZ750" s="45"/>
      <c r="BA750" s="45"/>
    </row>
    <row r="751" spans="1:53" ht="15.75" customHeight="1" x14ac:dyDescent="0.25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39"/>
      <c r="AW751" s="39"/>
      <c r="AX751" s="26"/>
      <c r="AY751" s="26"/>
      <c r="AZ751" s="40"/>
      <c r="BA751" s="40"/>
    </row>
    <row r="752" spans="1:53" ht="15.75" customHeight="1" x14ac:dyDescent="0.25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39"/>
      <c r="AW752" s="39"/>
      <c r="AX752" s="26"/>
      <c r="AY752" s="26"/>
      <c r="AZ752" s="45"/>
      <c r="BA752" s="45"/>
    </row>
    <row r="753" spans="1:53" ht="15.75" customHeight="1" x14ac:dyDescent="0.25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39"/>
      <c r="AW753" s="39"/>
      <c r="AX753" s="26"/>
      <c r="AY753" s="26"/>
      <c r="AZ753" s="40"/>
      <c r="BA753" s="40"/>
    </row>
    <row r="754" spans="1:53" ht="15.75" customHeight="1" x14ac:dyDescent="0.25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39"/>
      <c r="AW754" s="39"/>
      <c r="AX754" s="26"/>
      <c r="AY754" s="26"/>
      <c r="AZ754" s="45"/>
      <c r="BA754" s="45"/>
    </row>
    <row r="755" spans="1:53" ht="15.75" customHeight="1" x14ac:dyDescent="0.2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39"/>
      <c r="AW755" s="39"/>
      <c r="AX755" s="26"/>
      <c r="AY755" s="26"/>
      <c r="AZ755" s="40"/>
      <c r="BA755" s="40"/>
    </row>
    <row r="756" spans="1:53" ht="15.75" customHeight="1" x14ac:dyDescent="0.25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39"/>
      <c r="AW756" s="39"/>
      <c r="AX756" s="26"/>
      <c r="AY756" s="26"/>
      <c r="AZ756" s="45"/>
      <c r="BA756" s="45"/>
    </row>
    <row r="757" spans="1:53" ht="15.75" customHeight="1" x14ac:dyDescent="0.25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39"/>
      <c r="AW757" s="39"/>
      <c r="AX757" s="26"/>
      <c r="AY757" s="26"/>
      <c r="AZ757" s="40"/>
      <c r="BA757" s="40"/>
    </row>
    <row r="758" spans="1:53" ht="15.75" customHeight="1" x14ac:dyDescent="0.25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39"/>
      <c r="AW758" s="39"/>
      <c r="AX758" s="26"/>
      <c r="AY758" s="26"/>
      <c r="AZ758" s="45"/>
      <c r="BA758" s="45"/>
    </row>
    <row r="759" spans="1:53" ht="15.75" customHeight="1" x14ac:dyDescent="0.25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39"/>
      <c r="AW759" s="39"/>
      <c r="AX759" s="26"/>
      <c r="AY759" s="26"/>
      <c r="AZ759" s="40"/>
      <c r="BA759" s="40"/>
    </row>
    <row r="760" spans="1:53" ht="15.75" customHeight="1" x14ac:dyDescent="0.25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39"/>
      <c r="AW760" s="39"/>
      <c r="AX760" s="26"/>
      <c r="AY760" s="26"/>
      <c r="AZ760" s="45"/>
      <c r="BA760" s="45"/>
    </row>
    <row r="761" spans="1:53" ht="15.75" customHeight="1" x14ac:dyDescent="0.25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39"/>
      <c r="AW761" s="39"/>
      <c r="AX761" s="26"/>
      <c r="AY761" s="26"/>
      <c r="AZ761" s="40"/>
      <c r="BA761" s="40"/>
    </row>
    <row r="762" spans="1:53" ht="15.75" customHeight="1" x14ac:dyDescent="0.25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39"/>
      <c r="AW762" s="39"/>
      <c r="AX762" s="26"/>
      <c r="AY762" s="26"/>
      <c r="AZ762" s="45"/>
      <c r="BA762" s="45"/>
    </row>
    <row r="763" spans="1:53" ht="15.75" customHeight="1" x14ac:dyDescent="0.25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39"/>
      <c r="AW763" s="39"/>
      <c r="AX763" s="26"/>
      <c r="AY763" s="26"/>
      <c r="AZ763" s="40"/>
      <c r="BA763" s="40"/>
    </row>
    <row r="764" spans="1:53" ht="15.75" customHeight="1" x14ac:dyDescent="0.25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39"/>
      <c r="AW764" s="39"/>
      <c r="AX764" s="26"/>
      <c r="AY764" s="26"/>
      <c r="AZ764" s="45"/>
      <c r="BA764" s="45"/>
    </row>
    <row r="765" spans="1:53" ht="15.75" customHeight="1" x14ac:dyDescent="0.2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39"/>
      <c r="AW765" s="39"/>
      <c r="AX765" s="26"/>
      <c r="AY765" s="26"/>
      <c r="AZ765" s="40"/>
      <c r="BA765" s="40"/>
    </row>
    <row r="766" spans="1:53" ht="15.75" customHeight="1" x14ac:dyDescent="0.25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39"/>
      <c r="AW766" s="39"/>
      <c r="AX766" s="26"/>
      <c r="AY766" s="26"/>
      <c r="AZ766" s="45"/>
      <c r="BA766" s="45"/>
    </row>
    <row r="767" spans="1:53" ht="15.75" customHeight="1" x14ac:dyDescent="0.25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39"/>
      <c r="AW767" s="39"/>
      <c r="AX767" s="26"/>
      <c r="AY767" s="26"/>
      <c r="AZ767" s="40"/>
      <c r="BA767" s="40"/>
    </row>
    <row r="768" spans="1:53" ht="15.75" customHeight="1" x14ac:dyDescent="0.25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39"/>
      <c r="AW768" s="39"/>
      <c r="AX768" s="26"/>
      <c r="AY768" s="26"/>
      <c r="AZ768" s="45"/>
      <c r="BA768" s="45"/>
    </row>
    <row r="769" spans="1:53" ht="15.75" customHeight="1" x14ac:dyDescent="0.25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39"/>
      <c r="AW769" s="39"/>
      <c r="AX769" s="26"/>
      <c r="AY769" s="26"/>
      <c r="AZ769" s="40"/>
      <c r="BA769" s="40"/>
    </row>
    <row r="770" spans="1:53" ht="15.75" customHeight="1" x14ac:dyDescent="0.25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39"/>
      <c r="AW770" s="39"/>
      <c r="AX770" s="26"/>
      <c r="AY770" s="26"/>
      <c r="AZ770" s="45"/>
      <c r="BA770" s="45"/>
    </row>
    <row r="771" spans="1:53" ht="15.75" customHeight="1" x14ac:dyDescent="0.25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39"/>
      <c r="AW771" s="39"/>
      <c r="AX771" s="26"/>
      <c r="AY771" s="26"/>
      <c r="AZ771" s="40"/>
      <c r="BA771" s="40"/>
    </row>
    <row r="772" spans="1:53" ht="15.75" customHeight="1" x14ac:dyDescent="0.25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39"/>
      <c r="AW772" s="39"/>
      <c r="AX772" s="26"/>
      <c r="AY772" s="26"/>
      <c r="AZ772" s="45"/>
      <c r="BA772" s="45"/>
    </row>
    <row r="773" spans="1:53" ht="15.75" customHeight="1" x14ac:dyDescent="0.25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39"/>
      <c r="AW773" s="39"/>
      <c r="AX773" s="26"/>
      <c r="AY773" s="26"/>
      <c r="AZ773" s="40"/>
      <c r="BA773" s="40"/>
    </row>
    <row r="774" spans="1:53" ht="15.75" customHeight="1" x14ac:dyDescent="0.25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39"/>
      <c r="AW774" s="39"/>
      <c r="AX774" s="26"/>
      <c r="AY774" s="26"/>
      <c r="AZ774" s="45"/>
      <c r="BA774" s="45"/>
    </row>
    <row r="775" spans="1:53" ht="15.75" customHeight="1" x14ac:dyDescent="0.2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39"/>
      <c r="AW775" s="39"/>
      <c r="AX775" s="26"/>
      <c r="AY775" s="26"/>
      <c r="AZ775" s="40"/>
      <c r="BA775" s="40"/>
    </row>
    <row r="776" spans="1:53" ht="15.75" customHeight="1" x14ac:dyDescent="0.25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39"/>
      <c r="AW776" s="39"/>
      <c r="AX776" s="26"/>
      <c r="AY776" s="26"/>
      <c r="AZ776" s="45"/>
      <c r="BA776" s="45"/>
    </row>
    <row r="777" spans="1:53" ht="15.75" customHeight="1" x14ac:dyDescent="0.25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39"/>
      <c r="AW777" s="39"/>
      <c r="AX777" s="26"/>
      <c r="AY777" s="26"/>
      <c r="AZ777" s="40"/>
      <c r="BA777" s="40"/>
    </row>
    <row r="778" spans="1:53" ht="15.75" customHeight="1" x14ac:dyDescent="0.25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39"/>
      <c r="AW778" s="39"/>
      <c r="AX778" s="26"/>
      <c r="AY778" s="26"/>
      <c r="AZ778" s="45"/>
      <c r="BA778" s="45"/>
    </row>
    <row r="779" spans="1:53" ht="15.75" customHeight="1" x14ac:dyDescent="0.25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39"/>
      <c r="AW779" s="39"/>
      <c r="AX779" s="26"/>
      <c r="AY779" s="26"/>
      <c r="AZ779" s="40"/>
      <c r="BA779" s="40"/>
    </row>
    <row r="780" spans="1:53" ht="15.75" customHeight="1" x14ac:dyDescent="0.25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39"/>
      <c r="AW780" s="39"/>
      <c r="AX780" s="26"/>
      <c r="AY780" s="26"/>
      <c r="AZ780" s="45"/>
      <c r="BA780" s="45"/>
    </row>
    <row r="781" spans="1:53" ht="15.75" customHeight="1" x14ac:dyDescent="0.25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39"/>
      <c r="AW781" s="39"/>
      <c r="AX781" s="26"/>
      <c r="AY781" s="26"/>
      <c r="AZ781" s="40"/>
      <c r="BA781" s="40"/>
    </row>
    <row r="782" spans="1:53" ht="15.75" customHeight="1" x14ac:dyDescent="0.25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39"/>
      <c r="AW782" s="39"/>
      <c r="AX782" s="26"/>
      <c r="AY782" s="26"/>
      <c r="AZ782" s="45"/>
      <c r="BA782" s="45"/>
    </row>
    <row r="783" spans="1:53" ht="15.75" customHeight="1" x14ac:dyDescent="0.25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39"/>
      <c r="AW783" s="39"/>
      <c r="AX783" s="26"/>
      <c r="AY783" s="26"/>
      <c r="AZ783" s="40"/>
      <c r="BA783" s="40"/>
    </row>
    <row r="784" spans="1:53" ht="15.75" customHeight="1" x14ac:dyDescent="0.25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39"/>
      <c r="AW784" s="39"/>
      <c r="AX784" s="26"/>
      <c r="AY784" s="26"/>
      <c r="AZ784" s="45"/>
      <c r="BA784" s="45"/>
    </row>
    <row r="785" spans="1:53" ht="15.75" customHeight="1" x14ac:dyDescent="0.2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39"/>
      <c r="AW785" s="39"/>
      <c r="AX785" s="26"/>
      <c r="AY785" s="26"/>
      <c r="AZ785" s="40"/>
      <c r="BA785" s="40"/>
    </row>
    <row r="786" spans="1:53" ht="15.75" customHeight="1" x14ac:dyDescent="0.25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39"/>
      <c r="AW786" s="39"/>
      <c r="AX786" s="26"/>
      <c r="AY786" s="26"/>
      <c r="AZ786" s="45"/>
      <c r="BA786" s="45"/>
    </row>
    <row r="787" spans="1:53" ht="15.75" customHeight="1" x14ac:dyDescent="0.25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39"/>
      <c r="AW787" s="39"/>
      <c r="AX787" s="26"/>
      <c r="AY787" s="26"/>
      <c r="AZ787" s="40"/>
      <c r="BA787" s="40"/>
    </row>
    <row r="788" spans="1:53" ht="15.75" customHeight="1" x14ac:dyDescent="0.25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39"/>
      <c r="AW788" s="39"/>
      <c r="AX788" s="26"/>
      <c r="AY788" s="26"/>
      <c r="AZ788" s="45"/>
      <c r="BA788" s="45"/>
    </row>
    <row r="789" spans="1:53" ht="15.75" customHeight="1" x14ac:dyDescent="0.25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39"/>
      <c r="AW789" s="39"/>
      <c r="AX789" s="26"/>
      <c r="AY789" s="26"/>
      <c r="AZ789" s="40"/>
      <c r="BA789" s="40"/>
    </row>
    <row r="790" spans="1:53" ht="15.75" customHeight="1" x14ac:dyDescent="0.25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39"/>
      <c r="AW790" s="39"/>
      <c r="AX790" s="26"/>
      <c r="AY790" s="26"/>
      <c r="AZ790" s="45"/>
      <c r="BA790" s="45"/>
    </row>
    <row r="791" spans="1:53" ht="15.75" customHeight="1" x14ac:dyDescent="0.25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39"/>
      <c r="AW791" s="39"/>
      <c r="AX791" s="26"/>
      <c r="AY791" s="26"/>
      <c r="AZ791" s="40"/>
      <c r="BA791" s="40"/>
    </row>
    <row r="792" spans="1:53" ht="15.75" customHeight="1" x14ac:dyDescent="0.25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39"/>
      <c r="AW792" s="39"/>
      <c r="AX792" s="26"/>
      <c r="AY792" s="26"/>
      <c r="AZ792" s="45"/>
      <c r="BA792" s="45"/>
    </row>
    <row r="793" spans="1:53" ht="15.75" customHeight="1" x14ac:dyDescent="0.25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39"/>
      <c r="AW793" s="39"/>
      <c r="AX793" s="26"/>
      <c r="AY793" s="26"/>
      <c r="AZ793" s="40"/>
      <c r="BA793" s="40"/>
    </row>
    <row r="794" spans="1:53" ht="15.75" customHeight="1" x14ac:dyDescent="0.25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39"/>
      <c r="AW794" s="39"/>
      <c r="AX794" s="26"/>
      <c r="AY794" s="26"/>
      <c r="AZ794" s="45"/>
      <c r="BA794" s="45"/>
    </row>
    <row r="795" spans="1:53" ht="15.75" customHeight="1" x14ac:dyDescent="0.2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39"/>
      <c r="AW795" s="39"/>
      <c r="AX795" s="26"/>
      <c r="AY795" s="26"/>
      <c r="AZ795" s="40"/>
      <c r="BA795" s="40"/>
    </row>
    <row r="796" spans="1:53" ht="15.75" customHeight="1" x14ac:dyDescent="0.25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39"/>
      <c r="AW796" s="39"/>
      <c r="AX796" s="26"/>
      <c r="AY796" s="26"/>
      <c r="AZ796" s="45"/>
      <c r="BA796" s="45"/>
    </row>
    <row r="797" spans="1:53" ht="15.75" customHeight="1" x14ac:dyDescent="0.25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39"/>
      <c r="AW797" s="39"/>
      <c r="AX797" s="26"/>
      <c r="AY797" s="26"/>
      <c r="AZ797" s="40"/>
      <c r="BA797" s="40"/>
    </row>
    <row r="798" spans="1:53" ht="15.75" customHeight="1" x14ac:dyDescent="0.25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39"/>
      <c r="AW798" s="39"/>
      <c r="AX798" s="26"/>
      <c r="AY798" s="26"/>
      <c r="AZ798" s="45"/>
      <c r="BA798" s="45"/>
    </row>
    <row r="799" spans="1:53" ht="15.75" customHeight="1" x14ac:dyDescent="0.25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39"/>
      <c r="AW799" s="39"/>
      <c r="AX799" s="26"/>
      <c r="AY799" s="26"/>
      <c r="AZ799" s="40"/>
      <c r="BA799" s="40"/>
    </row>
    <row r="800" spans="1:53" ht="15.75" customHeight="1" x14ac:dyDescent="0.25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39"/>
      <c r="AW800" s="39"/>
      <c r="AX800" s="26"/>
      <c r="AY800" s="26"/>
      <c r="AZ800" s="45"/>
      <c r="BA800" s="45"/>
    </row>
    <row r="801" spans="1:53" ht="15.75" customHeight="1" x14ac:dyDescent="0.25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39"/>
      <c r="AW801" s="39"/>
      <c r="AX801" s="26"/>
      <c r="AY801" s="26"/>
      <c r="AZ801" s="40"/>
      <c r="BA801" s="40"/>
    </row>
    <row r="802" spans="1:53" ht="15.75" customHeight="1" x14ac:dyDescent="0.25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39"/>
      <c r="AW802" s="39"/>
      <c r="AX802" s="26"/>
      <c r="AY802" s="26"/>
      <c r="AZ802" s="45"/>
      <c r="BA802" s="45"/>
    </row>
    <row r="803" spans="1:53" ht="15.75" customHeight="1" x14ac:dyDescent="0.25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39"/>
      <c r="AW803" s="39"/>
      <c r="AX803" s="26"/>
      <c r="AY803" s="26"/>
      <c r="AZ803" s="40"/>
      <c r="BA803" s="40"/>
    </row>
    <row r="804" spans="1:53" ht="15.75" customHeight="1" x14ac:dyDescent="0.25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39"/>
      <c r="AW804" s="39"/>
      <c r="AX804" s="26"/>
      <c r="AY804" s="26"/>
      <c r="AZ804" s="45"/>
      <c r="BA804" s="45"/>
    </row>
    <row r="805" spans="1:53" ht="15.75" customHeight="1" x14ac:dyDescent="0.2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39"/>
      <c r="AW805" s="39"/>
      <c r="AX805" s="26"/>
      <c r="AY805" s="26"/>
      <c r="AZ805" s="40"/>
      <c r="BA805" s="40"/>
    </row>
    <row r="806" spans="1:53" ht="15.75" customHeight="1" x14ac:dyDescent="0.25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39"/>
      <c r="AW806" s="39"/>
      <c r="AX806" s="26"/>
      <c r="AY806" s="26"/>
      <c r="AZ806" s="45"/>
      <c r="BA806" s="45"/>
    </row>
    <row r="807" spans="1:53" ht="15.75" customHeight="1" x14ac:dyDescent="0.25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39"/>
      <c r="AW807" s="39"/>
      <c r="AX807" s="26"/>
      <c r="AY807" s="26"/>
      <c r="AZ807" s="40"/>
      <c r="BA807" s="40"/>
    </row>
    <row r="808" spans="1:53" ht="15.75" customHeight="1" x14ac:dyDescent="0.25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39"/>
      <c r="AW808" s="39"/>
      <c r="AX808" s="26"/>
      <c r="AY808" s="26"/>
      <c r="AZ808" s="45"/>
      <c r="BA808" s="45"/>
    </row>
    <row r="809" spans="1:53" ht="15.75" customHeight="1" x14ac:dyDescent="0.25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39"/>
      <c r="AW809" s="39"/>
      <c r="AX809" s="26"/>
      <c r="AY809" s="26"/>
      <c r="AZ809" s="40"/>
      <c r="BA809" s="40"/>
    </row>
    <row r="810" spans="1:53" ht="15.75" customHeight="1" x14ac:dyDescent="0.25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39"/>
      <c r="AW810" s="39"/>
      <c r="AX810" s="26"/>
      <c r="AY810" s="26"/>
      <c r="AZ810" s="45"/>
      <c r="BA810" s="45"/>
    </row>
    <row r="811" spans="1:53" ht="15.75" customHeight="1" x14ac:dyDescent="0.25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39"/>
      <c r="AW811" s="39"/>
      <c r="AX811" s="26"/>
      <c r="AY811" s="26"/>
      <c r="AZ811" s="40"/>
      <c r="BA811" s="40"/>
    </row>
    <row r="812" spans="1:53" ht="15.75" customHeight="1" x14ac:dyDescent="0.25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39"/>
      <c r="AW812" s="39"/>
      <c r="AX812" s="26"/>
      <c r="AY812" s="26"/>
      <c r="AZ812" s="45"/>
      <c r="BA812" s="45"/>
    </row>
    <row r="813" spans="1:53" ht="15.75" customHeight="1" x14ac:dyDescent="0.25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39"/>
      <c r="AW813" s="39"/>
      <c r="AX813" s="26"/>
      <c r="AY813" s="26"/>
      <c r="AZ813" s="40"/>
      <c r="BA813" s="40"/>
    </row>
    <row r="814" spans="1:53" ht="15.75" customHeight="1" x14ac:dyDescent="0.25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39"/>
      <c r="AW814" s="39"/>
      <c r="AX814" s="26"/>
      <c r="AY814" s="26"/>
      <c r="AZ814" s="45"/>
      <c r="BA814" s="45"/>
    </row>
    <row r="815" spans="1:53" ht="15.75" customHeight="1" x14ac:dyDescent="0.2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39"/>
      <c r="AW815" s="39"/>
      <c r="AX815" s="26"/>
      <c r="AY815" s="26"/>
      <c r="AZ815" s="40"/>
      <c r="BA815" s="40"/>
    </row>
    <row r="816" spans="1:53" ht="15.75" customHeight="1" x14ac:dyDescent="0.25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39"/>
      <c r="AW816" s="39"/>
      <c r="AX816" s="26"/>
      <c r="AY816" s="26"/>
      <c r="AZ816" s="45"/>
      <c r="BA816" s="45"/>
    </row>
    <row r="817" spans="1:53" ht="15.75" customHeight="1" x14ac:dyDescent="0.25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39"/>
      <c r="AW817" s="39"/>
      <c r="AX817" s="26"/>
      <c r="AY817" s="26"/>
      <c r="AZ817" s="40"/>
      <c r="BA817" s="40"/>
    </row>
    <row r="818" spans="1:53" ht="15.75" customHeight="1" x14ac:dyDescent="0.25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39"/>
      <c r="AW818" s="39"/>
      <c r="AX818" s="26"/>
      <c r="AY818" s="26"/>
      <c r="AZ818" s="45"/>
      <c r="BA818" s="45"/>
    </row>
    <row r="819" spans="1:53" ht="15.75" customHeight="1" x14ac:dyDescent="0.25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39"/>
      <c r="AW819" s="39"/>
      <c r="AX819" s="26"/>
      <c r="AY819" s="26"/>
      <c r="AZ819" s="40"/>
      <c r="BA819" s="40"/>
    </row>
    <row r="820" spans="1:53" ht="15.75" customHeight="1" x14ac:dyDescent="0.25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39"/>
      <c r="AW820" s="39"/>
      <c r="AX820" s="26"/>
      <c r="AY820" s="26"/>
      <c r="AZ820" s="45"/>
      <c r="BA820" s="45"/>
    </row>
    <row r="821" spans="1:53" ht="15.75" customHeight="1" x14ac:dyDescent="0.25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39"/>
      <c r="AW821" s="39"/>
      <c r="AX821" s="26"/>
      <c r="AY821" s="26"/>
      <c r="AZ821" s="40"/>
      <c r="BA821" s="40"/>
    </row>
    <row r="822" spans="1:53" ht="15.75" customHeight="1" x14ac:dyDescent="0.25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39"/>
      <c r="AW822" s="39"/>
      <c r="AX822" s="26"/>
      <c r="AY822" s="26"/>
      <c r="AZ822" s="45"/>
      <c r="BA822" s="45"/>
    </row>
    <row r="823" spans="1:53" ht="15.75" customHeight="1" x14ac:dyDescent="0.25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39"/>
      <c r="AW823" s="39"/>
      <c r="AX823" s="26"/>
      <c r="AY823" s="26"/>
      <c r="AZ823" s="40"/>
      <c r="BA823" s="40"/>
    </row>
    <row r="824" spans="1:53" ht="15.75" customHeight="1" x14ac:dyDescent="0.25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39"/>
      <c r="AW824" s="39"/>
      <c r="AX824" s="26"/>
      <c r="AY824" s="26"/>
      <c r="AZ824" s="45"/>
      <c r="BA824" s="45"/>
    </row>
    <row r="825" spans="1:53" ht="15.75" customHeight="1" x14ac:dyDescent="0.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39"/>
      <c r="AW825" s="39"/>
      <c r="AX825" s="26"/>
      <c r="AY825" s="26"/>
      <c r="AZ825" s="40"/>
      <c r="BA825" s="40"/>
    </row>
    <row r="826" spans="1:53" ht="15.75" customHeight="1" x14ac:dyDescent="0.25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39"/>
      <c r="AW826" s="39"/>
      <c r="AX826" s="26"/>
      <c r="AY826" s="26"/>
      <c r="AZ826" s="45"/>
      <c r="BA826" s="45"/>
    </row>
    <row r="827" spans="1:53" ht="15.75" customHeight="1" x14ac:dyDescent="0.25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39"/>
      <c r="AW827" s="39"/>
      <c r="AX827" s="26"/>
      <c r="AY827" s="26"/>
      <c r="AZ827" s="40"/>
      <c r="BA827" s="40"/>
    </row>
    <row r="828" spans="1:53" ht="15.75" customHeight="1" x14ac:dyDescent="0.25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39"/>
      <c r="AW828" s="39"/>
      <c r="AX828" s="26"/>
      <c r="AY828" s="26"/>
      <c r="AZ828" s="45"/>
      <c r="BA828" s="45"/>
    </row>
    <row r="829" spans="1:53" ht="15.75" customHeight="1" x14ac:dyDescent="0.25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39"/>
      <c r="AW829" s="39"/>
      <c r="AX829" s="26"/>
      <c r="AY829" s="26"/>
      <c r="AZ829" s="40"/>
      <c r="BA829" s="40"/>
    </row>
    <row r="830" spans="1:53" ht="15.75" customHeight="1" x14ac:dyDescent="0.25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39"/>
      <c r="AW830" s="39"/>
      <c r="AX830" s="26"/>
      <c r="AY830" s="26"/>
      <c r="AZ830" s="45"/>
      <c r="BA830" s="45"/>
    </row>
    <row r="831" spans="1:53" ht="15.75" customHeight="1" x14ac:dyDescent="0.25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39"/>
      <c r="AW831" s="39"/>
      <c r="AX831" s="26"/>
      <c r="AY831" s="26"/>
      <c r="AZ831" s="40"/>
      <c r="BA831" s="40"/>
    </row>
    <row r="832" spans="1:53" ht="15.75" customHeight="1" x14ac:dyDescent="0.25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39"/>
      <c r="AW832" s="39"/>
      <c r="AX832" s="26"/>
      <c r="AY832" s="26"/>
      <c r="AZ832" s="45"/>
      <c r="BA832" s="45"/>
    </row>
    <row r="833" spans="1:53" ht="15.75" customHeight="1" x14ac:dyDescent="0.25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39"/>
      <c r="AW833" s="39"/>
      <c r="AX833" s="26"/>
      <c r="AY833" s="26"/>
      <c r="AZ833" s="40"/>
      <c r="BA833" s="40"/>
    </row>
    <row r="834" spans="1:53" ht="15.75" customHeight="1" x14ac:dyDescent="0.25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39"/>
      <c r="AW834" s="39"/>
      <c r="AX834" s="26"/>
      <c r="AY834" s="26"/>
      <c r="AZ834" s="45"/>
      <c r="BA834" s="45"/>
    </row>
    <row r="835" spans="1:53" ht="15.75" customHeight="1" x14ac:dyDescent="0.2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39"/>
      <c r="AW835" s="39"/>
      <c r="AX835" s="26"/>
      <c r="AY835" s="26"/>
      <c r="AZ835" s="40"/>
      <c r="BA835" s="40"/>
    </row>
    <row r="836" spans="1:53" ht="15.75" customHeight="1" x14ac:dyDescent="0.25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39"/>
      <c r="AW836" s="39"/>
      <c r="AX836" s="26"/>
      <c r="AY836" s="26"/>
      <c r="AZ836" s="45"/>
      <c r="BA836" s="45"/>
    </row>
    <row r="837" spans="1:53" ht="15.75" customHeight="1" x14ac:dyDescent="0.25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39"/>
      <c r="AW837" s="39"/>
      <c r="AX837" s="26"/>
      <c r="AY837" s="26"/>
      <c r="AZ837" s="40"/>
      <c r="BA837" s="40"/>
    </row>
    <row r="838" spans="1:53" ht="15.75" customHeight="1" x14ac:dyDescent="0.25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39"/>
      <c r="AW838" s="39"/>
      <c r="AX838" s="26"/>
      <c r="AY838" s="26"/>
      <c r="AZ838" s="45"/>
      <c r="BA838" s="45"/>
    </row>
    <row r="839" spans="1:53" ht="15.75" customHeight="1" x14ac:dyDescent="0.25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39"/>
      <c r="AW839" s="39"/>
      <c r="AX839" s="26"/>
      <c r="AY839" s="26"/>
      <c r="AZ839" s="40"/>
      <c r="BA839" s="40"/>
    </row>
    <row r="840" spans="1:53" ht="15.75" customHeight="1" x14ac:dyDescent="0.25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39"/>
      <c r="AW840" s="39"/>
      <c r="AX840" s="26"/>
      <c r="AY840" s="26"/>
      <c r="AZ840" s="45"/>
      <c r="BA840" s="45"/>
    </row>
    <row r="841" spans="1:53" ht="15.75" customHeight="1" x14ac:dyDescent="0.25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39"/>
      <c r="AW841" s="39"/>
      <c r="AX841" s="26"/>
      <c r="AY841" s="26"/>
      <c r="AZ841" s="40"/>
      <c r="BA841" s="40"/>
    </row>
    <row r="842" spans="1:53" ht="15.75" customHeight="1" x14ac:dyDescent="0.25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39"/>
      <c r="AW842" s="39"/>
      <c r="AX842" s="26"/>
      <c r="AY842" s="26"/>
      <c r="AZ842" s="45"/>
      <c r="BA842" s="45"/>
    </row>
    <row r="843" spans="1:53" ht="15.75" customHeight="1" x14ac:dyDescent="0.25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39"/>
      <c r="AW843" s="39"/>
      <c r="AX843" s="26"/>
      <c r="AY843" s="26"/>
      <c r="AZ843" s="40"/>
      <c r="BA843" s="40"/>
    </row>
    <row r="844" spans="1:53" ht="15.75" customHeight="1" x14ac:dyDescent="0.25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39"/>
      <c r="AW844" s="39"/>
      <c r="AX844" s="26"/>
      <c r="AY844" s="26"/>
      <c r="AZ844" s="45"/>
      <c r="BA844" s="45"/>
    </row>
    <row r="845" spans="1:53" ht="15.75" customHeight="1" x14ac:dyDescent="0.2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39"/>
      <c r="AW845" s="39"/>
      <c r="AX845" s="26"/>
      <c r="AY845" s="26"/>
      <c r="AZ845" s="40"/>
      <c r="BA845" s="40"/>
    </row>
    <row r="846" spans="1:53" ht="15.75" customHeight="1" x14ac:dyDescent="0.25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39"/>
      <c r="AW846" s="39"/>
      <c r="AX846" s="26"/>
      <c r="AY846" s="26"/>
      <c r="AZ846" s="45"/>
      <c r="BA846" s="45"/>
    </row>
    <row r="847" spans="1:53" ht="15.75" customHeight="1" x14ac:dyDescent="0.25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39"/>
      <c r="AW847" s="39"/>
      <c r="AX847" s="26"/>
      <c r="AY847" s="26"/>
      <c r="AZ847" s="40"/>
      <c r="BA847" s="40"/>
    </row>
    <row r="848" spans="1:53" ht="15.75" customHeight="1" x14ac:dyDescent="0.25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39"/>
      <c r="AW848" s="39"/>
      <c r="AX848" s="26"/>
      <c r="AY848" s="26"/>
      <c r="AZ848" s="45"/>
      <c r="BA848" s="45"/>
    </row>
    <row r="849" spans="1:53" ht="15.75" customHeight="1" x14ac:dyDescent="0.25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39"/>
      <c r="AW849" s="39"/>
      <c r="AX849" s="26"/>
      <c r="AY849" s="26"/>
      <c r="AZ849" s="40"/>
      <c r="BA849" s="40"/>
    </row>
    <row r="850" spans="1:53" ht="15.75" customHeight="1" x14ac:dyDescent="0.25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39"/>
      <c r="AW850" s="39"/>
      <c r="AX850" s="26"/>
      <c r="AY850" s="26"/>
      <c r="AZ850" s="45"/>
      <c r="BA850" s="45"/>
    </row>
    <row r="851" spans="1:53" ht="15.75" customHeight="1" x14ac:dyDescent="0.25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39"/>
      <c r="AW851" s="39"/>
      <c r="AX851" s="26"/>
      <c r="AY851" s="26"/>
      <c r="AZ851" s="40"/>
      <c r="BA851" s="40"/>
    </row>
    <row r="852" spans="1:53" ht="15.75" customHeight="1" x14ac:dyDescent="0.25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39"/>
      <c r="AW852" s="39"/>
      <c r="AX852" s="26"/>
      <c r="AY852" s="26"/>
      <c r="AZ852" s="45"/>
      <c r="BA852" s="45"/>
    </row>
    <row r="853" spans="1:53" ht="15.75" customHeight="1" x14ac:dyDescent="0.25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39"/>
      <c r="AW853" s="39"/>
      <c r="AX853" s="26"/>
      <c r="AY853" s="26"/>
      <c r="AZ853" s="40"/>
      <c r="BA853" s="40"/>
    </row>
    <row r="854" spans="1:53" ht="15.75" customHeight="1" x14ac:dyDescent="0.25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39"/>
      <c r="AW854" s="39"/>
      <c r="AX854" s="26"/>
      <c r="AY854" s="26"/>
      <c r="AZ854" s="45"/>
      <c r="BA854" s="45"/>
    </row>
    <row r="855" spans="1:53" ht="15.75" customHeight="1" x14ac:dyDescent="0.2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39"/>
      <c r="AW855" s="39"/>
      <c r="AX855" s="26"/>
      <c r="AY855" s="26"/>
      <c r="AZ855" s="40"/>
      <c r="BA855" s="40"/>
    </row>
    <row r="856" spans="1:53" ht="15.75" customHeight="1" x14ac:dyDescent="0.25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39"/>
      <c r="AW856" s="39"/>
      <c r="AX856" s="26"/>
      <c r="AY856" s="26"/>
      <c r="AZ856" s="45"/>
      <c r="BA856" s="45"/>
    </row>
    <row r="857" spans="1:53" ht="15.75" customHeight="1" x14ac:dyDescent="0.25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39"/>
      <c r="AW857" s="39"/>
      <c r="AX857" s="26"/>
      <c r="AY857" s="26"/>
      <c r="AZ857" s="40"/>
      <c r="BA857" s="40"/>
    </row>
    <row r="858" spans="1:53" ht="15.75" customHeight="1" x14ac:dyDescent="0.25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39"/>
      <c r="AW858" s="39"/>
      <c r="AX858" s="26"/>
      <c r="AY858" s="26"/>
      <c r="AZ858" s="45"/>
      <c r="BA858" s="45"/>
    </row>
    <row r="859" spans="1:53" ht="15.75" customHeight="1" x14ac:dyDescent="0.25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39"/>
      <c r="AW859" s="39"/>
      <c r="AX859" s="26"/>
      <c r="AY859" s="26"/>
      <c r="AZ859" s="40"/>
      <c r="BA859" s="40"/>
    </row>
    <row r="860" spans="1:53" ht="15.75" customHeight="1" x14ac:dyDescent="0.25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39"/>
      <c r="AW860" s="39"/>
      <c r="AX860" s="26"/>
      <c r="AY860" s="26"/>
      <c r="AZ860" s="45"/>
      <c r="BA860" s="45"/>
    </row>
    <row r="861" spans="1:53" ht="15.75" customHeight="1" x14ac:dyDescent="0.25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39"/>
      <c r="AW861" s="39"/>
      <c r="AX861" s="26"/>
      <c r="AY861" s="26"/>
      <c r="AZ861" s="40"/>
      <c r="BA861" s="40"/>
    </row>
    <row r="862" spans="1:53" ht="15.75" customHeight="1" x14ac:dyDescent="0.25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39"/>
      <c r="AW862" s="39"/>
      <c r="AX862" s="26"/>
      <c r="AY862" s="26"/>
      <c r="AZ862" s="45"/>
      <c r="BA862" s="45"/>
    </row>
    <row r="863" spans="1:53" ht="15.75" customHeight="1" x14ac:dyDescent="0.25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39"/>
      <c r="AW863" s="39"/>
      <c r="AX863" s="26"/>
      <c r="AY863" s="26"/>
      <c r="AZ863" s="40"/>
      <c r="BA863" s="40"/>
    </row>
    <row r="864" spans="1:53" ht="15.75" customHeight="1" x14ac:dyDescent="0.25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39"/>
      <c r="AW864" s="39"/>
      <c r="AX864" s="26"/>
      <c r="AY864" s="26"/>
      <c r="AZ864" s="45"/>
      <c r="BA864" s="45"/>
    </row>
    <row r="865" spans="1:53" ht="15.75" customHeight="1" x14ac:dyDescent="0.2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39"/>
      <c r="AW865" s="39"/>
      <c r="AX865" s="26"/>
      <c r="AY865" s="26"/>
      <c r="AZ865" s="40"/>
      <c r="BA865" s="40"/>
    </row>
    <row r="866" spans="1:53" ht="15.75" customHeight="1" x14ac:dyDescent="0.25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39"/>
      <c r="AW866" s="39"/>
      <c r="AX866" s="26"/>
      <c r="AY866" s="26"/>
      <c r="AZ866" s="45"/>
      <c r="BA866" s="45"/>
    </row>
    <row r="867" spans="1:53" ht="15.75" customHeight="1" x14ac:dyDescent="0.25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39"/>
      <c r="AW867" s="39"/>
      <c r="AX867" s="26"/>
      <c r="AY867" s="26"/>
      <c r="AZ867" s="40"/>
      <c r="BA867" s="40"/>
    </row>
    <row r="868" spans="1:53" ht="15.75" customHeight="1" x14ac:dyDescent="0.25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39"/>
      <c r="AW868" s="39"/>
      <c r="AX868" s="26"/>
      <c r="AY868" s="26"/>
      <c r="AZ868" s="45"/>
      <c r="BA868" s="45"/>
    </row>
    <row r="869" spans="1:53" ht="15.75" customHeight="1" x14ac:dyDescent="0.25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39"/>
      <c r="AW869" s="39"/>
      <c r="AX869" s="26"/>
      <c r="AY869" s="26"/>
      <c r="AZ869" s="40"/>
      <c r="BA869" s="40"/>
    </row>
    <row r="870" spans="1:53" ht="15.75" customHeight="1" x14ac:dyDescent="0.25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39"/>
      <c r="AW870" s="39"/>
      <c r="AX870" s="26"/>
      <c r="AY870" s="26"/>
      <c r="AZ870" s="45"/>
      <c r="BA870" s="45"/>
    </row>
    <row r="871" spans="1:53" ht="15.75" customHeight="1" x14ac:dyDescent="0.25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39"/>
      <c r="AW871" s="39"/>
      <c r="AX871" s="26"/>
      <c r="AY871" s="26"/>
      <c r="AZ871" s="40"/>
      <c r="BA871" s="40"/>
    </row>
    <row r="872" spans="1:53" ht="15.75" customHeight="1" x14ac:dyDescent="0.25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39"/>
      <c r="AW872" s="39"/>
      <c r="AX872" s="26"/>
      <c r="AY872" s="26"/>
      <c r="AZ872" s="45"/>
      <c r="BA872" s="45"/>
    </row>
    <row r="873" spans="1:53" ht="15.75" customHeight="1" x14ac:dyDescent="0.25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39"/>
      <c r="AW873" s="39"/>
      <c r="AX873" s="26"/>
      <c r="AY873" s="26"/>
      <c r="AZ873" s="40"/>
      <c r="BA873" s="40"/>
    </row>
    <row r="874" spans="1:53" ht="15.75" customHeight="1" x14ac:dyDescent="0.25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39"/>
      <c r="AW874" s="39"/>
      <c r="AX874" s="26"/>
      <c r="AY874" s="26"/>
      <c r="AZ874" s="45"/>
      <c r="BA874" s="45"/>
    </row>
    <row r="875" spans="1:53" ht="15.75" customHeight="1" x14ac:dyDescent="0.2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39"/>
      <c r="AW875" s="39"/>
      <c r="AX875" s="26"/>
      <c r="AY875" s="26"/>
      <c r="AZ875" s="40"/>
      <c r="BA875" s="40"/>
    </row>
    <row r="876" spans="1:53" ht="15.75" customHeight="1" x14ac:dyDescent="0.25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39"/>
      <c r="AW876" s="39"/>
      <c r="AX876" s="26"/>
      <c r="AY876" s="26"/>
      <c r="AZ876" s="45"/>
      <c r="BA876" s="45"/>
    </row>
    <row r="877" spans="1:53" ht="15.75" customHeight="1" x14ac:dyDescent="0.25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39"/>
      <c r="AW877" s="39"/>
      <c r="AX877" s="26"/>
      <c r="AY877" s="26"/>
      <c r="AZ877" s="40"/>
      <c r="BA877" s="40"/>
    </row>
    <row r="878" spans="1:53" ht="15.75" customHeight="1" x14ac:dyDescent="0.25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39"/>
      <c r="AW878" s="39"/>
      <c r="AX878" s="26"/>
      <c r="AY878" s="26"/>
      <c r="AZ878" s="45"/>
      <c r="BA878" s="45"/>
    </row>
    <row r="879" spans="1:53" ht="15.75" customHeight="1" x14ac:dyDescent="0.25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39"/>
      <c r="AW879" s="39"/>
      <c r="AX879" s="26"/>
      <c r="AY879" s="26"/>
      <c r="AZ879" s="40"/>
      <c r="BA879" s="40"/>
    </row>
    <row r="880" spans="1:53" ht="15.75" customHeight="1" x14ac:dyDescent="0.25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39"/>
      <c r="AW880" s="39"/>
      <c r="AX880" s="26"/>
      <c r="AY880" s="26"/>
      <c r="AZ880" s="45"/>
      <c r="BA880" s="45"/>
    </row>
    <row r="881" spans="1:53" ht="15.75" customHeight="1" x14ac:dyDescent="0.25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39"/>
      <c r="AW881" s="39"/>
      <c r="AX881" s="26"/>
      <c r="AY881" s="26"/>
      <c r="AZ881" s="40"/>
      <c r="BA881" s="40"/>
    </row>
    <row r="882" spans="1:53" ht="15.75" customHeight="1" x14ac:dyDescent="0.25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39"/>
      <c r="AW882" s="39"/>
      <c r="AX882" s="26"/>
      <c r="AY882" s="26"/>
      <c r="AZ882" s="45"/>
      <c r="BA882" s="45"/>
    </row>
    <row r="883" spans="1:53" ht="15.75" customHeight="1" x14ac:dyDescent="0.25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39"/>
      <c r="AW883" s="39"/>
      <c r="AX883" s="26"/>
      <c r="AY883" s="26"/>
      <c r="AZ883" s="40"/>
      <c r="BA883" s="40"/>
    </row>
    <row r="884" spans="1:53" ht="15.75" customHeight="1" x14ac:dyDescent="0.25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39"/>
      <c r="AW884" s="39"/>
      <c r="AX884" s="26"/>
      <c r="AY884" s="26"/>
      <c r="AZ884" s="45"/>
      <c r="BA884" s="45"/>
    </row>
    <row r="885" spans="1:53" ht="15.75" customHeight="1" x14ac:dyDescent="0.2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39"/>
      <c r="AW885" s="39"/>
      <c r="AX885" s="26"/>
      <c r="AY885" s="26"/>
      <c r="AZ885" s="40"/>
      <c r="BA885" s="40"/>
    </row>
    <row r="886" spans="1:53" ht="15.75" customHeight="1" x14ac:dyDescent="0.25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39"/>
      <c r="AW886" s="39"/>
      <c r="AX886" s="26"/>
      <c r="AY886" s="26"/>
      <c r="AZ886" s="45"/>
      <c r="BA886" s="45"/>
    </row>
    <row r="887" spans="1:53" ht="15.75" customHeight="1" x14ac:dyDescent="0.25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39"/>
      <c r="AW887" s="39"/>
      <c r="AX887" s="26"/>
      <c r="AY887" s="26"/>
      <c r="AZ887" s="40"/>
      <c r="BA887" s="40"/>
    </row>
    <row r="888" spans="1:53" ht="15.75" customHeight="1" x14ac:dyDescent="0.25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39"/>
      <c r="AW888" s="39"/>
      <c r="AX888" s="26"/>
      <c r="AY888" s="26"/>
      <c r="AZ888" s="45"/>
      <c r="BA888" s="45"/>
    </row>
    <row r="889" spans="1:53" ht="15.75" customHeight="1" x14ac:dyDescent="0.25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39"/>
      <c r="AW889" s="39"/>
      <c r="AX889" s="26"/>
      <c r="AY889" s="26"/>
      <c r="AZ889" s="40"/>
      <c r="BA889" s="40"/>
    </row>
    <row r="890" spans="1:53" ht="15.75" customHeight="1" x14ac:dyDescent="0.25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39"/>
      <c r="AW890" s="39"/>
      <c r="AX890" s="26"/>
      <c r="AY890" s="26"/>
      <c r="AZ890" s="45"/>
      <c r="BA890" s="45"/>
    </row>
    <row r="891" spans="1:53" ht="15.75" customHeight="1" x14ac:dyDescent="0.25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39"/>
      <c r="AW891" s="39"/>
      <c r="AX891" s="26"/>
      <c r="AY891" s="26"/>
      <c r="AZ891" s="40"/>
      <c r="BA891" s="40"/>
    </row>
    <row r="892" spans="1:53" ht="15.75" customHeight="1" x14ac:dyDescent="0.25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39"/>
      <c r="AW892" s="39"/>
      <c r="AX892" s="26"/>
      <c r="AY892" s="26"/>
      <c r="AZ892" s="45"/>
      <c r="BA892" s="45"/>
    </row>
    <row r="893" spans="1:53" ht="15.75" customHeight="1" x14ac:dyDescent="0.25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39"/>
      <c r="AW893" s="39"/>
      <c r="AX893" s="26"/>
      <c r="AY893" s="26"/>
      <c r="AZ893" s="40"/>
      <c r="BA893" s="40"/>
    </row>
    <row r="894" spans="1:53" ht="15.75" customHeight="1" x14ac:dyDescent="0.25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39"/>
      <c r="AW894" s="39"/>
      <c r="AX894" s="26"/>
      <c r="AY894" s="26"/>
      <c r="AZ894" s="45"/>
      <c r="BA894" s="45"/>
    </row>
    <row r="895" spans="1:53" ht="15.75" customHeight="1" x14ac:dyDescent="0.2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39"/>
      <c r="AW895" s="39"/>
      <c r="AX895" s="26"/>
      <c r="AY895" s="26"/>
      <c r="AZ895" s="40"/>
      <c r="BA895" s="40"/>
    </row>
    <row r="896" spans="1:53" ht="15.75" customHeight="1" x14ac:dyDescent="0.25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39"/>
      <c r="AW896" s="39"/>
      <c r="AX896" s="26"/>
      <c r="AY896" s="26"/>
      <c r="AZ896" s="45"/>
      <c r="BA896" s="45"/>
    </row>
    <row r="897" spans="1:53" ht="15.75" customHeight="1" x14ac:dyDescent="0.25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39"/>
      <c r="AW897" s="39"/>
      <c r="AX897" s="26"/>
      <c r="AY897" s="26"/>
      <c r="AZ897" s="40"/>
      <c r="BA897" s="40"/>
    </row>
    <row r="898" spans="1:53" ht="15.75" customHeight="1" x14ac:dyDescent="0.25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39"/>
      <c r="AW898" s="39"/>
      <c r="AX898" s="26"/>
      <c r="AY898" s="26"/>
      <c r="AZ898" s="45"/>
      <c r="BA898" s="45"/>
    </row>
    <row r="899" spans="1:53" ht="15.75" customHeight="1" x14ac:dyDescent="0.25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39"/>
      <c r="AW899" s="39"/>
      <c r="AX899" s="26"/>
      <c r="AY899" s="26"/>
      <c r="AZ899" s="40"/>
      <c r="BA899" s="40"/>
    </row>
    <row r="900" spans="1:53" ht="15.75" customHeight="1" x14ac:dyDescent="0.25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39"/>
      <c r="AW900" s="39"/>
      <c r="AX900" s="26"/>
      <c r="AY900" s="26"/>
      <c r="AZ900" s="45"/>
      <c r="BA900" s="45"/>
    </row>
    <row r="901" spans="1:53" ht="15.75" customHeight="1" x14ac:dyDescent="0.25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39"/>
      <c r="AW901" s="39"/>
      <c r="AX901" s="26"/>
      <c r="AY901" s="26"/>
      <c r="AZ901" s="40"/>
      <c r="BA901" s="40"/>
    </row>
    <row r="902" spans="1:53" ht="15.75" customHeight="1" x14ac:dyDescent="0.25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39"/>
      <c r="AW902" s="39"/>
      <c r="AX902" s="26"/>
      <c r="AY902" s="26"/>
      <c r="AZ902" s="45"/>
      <c r="BA902" s="45"/>
    </row>
    <row r="903" spans="1:53" ht="15.75" customHeight="1" x14ac:dyDescent="0.25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39"/>
      <c r="AW903" s="39"/>
      <c r="AX903" s="26"/>
      <c r="AY903" s="26"/>
      <c r="AZ903" s="40"/>
      <c r="BA903" s="40"/>
    </row>
    <row r="904" spans="1:53" ht="15.75" customHeight="1" x14ac:dyDescent="0.25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39"/>
      <c r="AW904" s="39"/>
      <c r="AX904" s="26"/>
      <c r="AY904" s="26"/>
      <c r="AZ904" s="45"/>
      <c r="BA904" s="45"/>
    </row>
    <row r="905" spans="1:53" ht="15.75" customHeight="1" x14ac:dyDescent="0.2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39"/>
      <c r="AW905" s="39"/>
      <c r="AX905" s="26"/>
      <c r="AY905" s="26"/>
      <c r="AZ905" s="40"/>
      <c r="BA905" s="40"/>
    </row>
    <row r="906" spans="1:53" ht="15.75" customHeight="1" x14ac:dyDescent="0.25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39"/>
      <c r="AW906" s="39"/>
      <c r="AX906" s="26"/>
      <c r="AY906" s="26"/>
      <c r="AZ906" s="45"/>
      <c r="BA906" s="45"/>
    </row>
    <row r="907" spans="1:53" ht="15.75" customHeight="1" x14ac:dyDescent="0.25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39"/>
      <c r="AW907" s="39"/>
      <c r="AX907" s="26"/>
      <c r="AY907" s="26"/>
      <c r="AZ907" s="40"/>
      <c r="BA907" s="40"/>
    </row>
    <row r="908" spans="1:53" ht="15.75" customHeight="1" x14ac:dyDescent="0.25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39"/>
      <c r="AW908" s="39"/>
      <c r="AX908" s="26"/>
      <c r="AY908" s="26"/>
      <c r="AZ908" s="45"/>
      <c r="BA908" s="45"/>
    </row>
    <row r="909" spans="1:53" ht="15.75" customHeight="1" x14ac:dyDescent="0.25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39"/>
      <c r="AW909" s="39"/>
      <c r="AX909" s="26"/>
      <c r="AY909" s="26"/>
      <c r="AZ909" s="40"/>
      <c r="BA909" s="40"/>
    </row>
    <row r="910" spans="1:53" ht="15.75" customHeight="1" x14ac:dyDescent="0.25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39"/>
      <c r="AW910" s="39"/>
      <c r="AX910" s="26"/>
      <c r="AY910" s="26"/>
      <c r="AZ910" s="45"/>
      <c r="BA910" s="45"/>
    </row>
    <row r="911" spans="1:53" ht="15.75" customHeight="1" x14ac:dyDescent="0.25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39"/>
      <c r="AW911" s="39"/>
      <c r="AX911" s="26"/>
      <c r="AY911" s="26"/>
      <c r="AZ911" s="40"/>
      <c r="BA911" s="40"/>
    </row>
    <row r="912" spans="1:53" ht="15.75" customHeight="1" x14ac:dyDescent="0.25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39"/>
      <c r="AW912" s="39"/>
      <c r="AX912" s="26"/>
      <c r="AY912" s="26"/>
      <c r="AZ912" s="45"/>
      <c r="BA912" s="45"/>
    </row>
    <row r="913" spans="1:53" ht="15.75" customHeight="1" x14ac:dyDescent="0.25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39"/>
      <c r="AW913" s="39"/>
      <c r="AX913" s="26"/>
      <c r="AY913" s="26"/>
      <c r="AZ913" s="40"/>
      <c r="BA913" s="40"/>
    </row>
    <row r="914" spans="1:53" ht="15.75" customHeight="1" x14ac:dyDescent="0.25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39"/>
      <c r="AW914" s="39"/>
      <c r="AX914" s="26"/>
      <c r="AY914" s="26"/>
      <c r="AZ914" s="45"/>
      <c r="BA914" s="45"/>
    </row>
    <row r="915" spans="1:53" ht="15.75" customHeight="1" x14ac:dyDescent="0.2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39"/>
      <c r="AW915" s="39"/>
      <c r="AX915" s="26"/>
      <c r="AY915" s="26"/>
      <c r="AZ915" s="40"/>
      <c r="BA915" s="40"/>
    </row>
    <row r="916" spans="1:53" ht="15.75" customHeight="1" x14ac:dyDescent="0.25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39"/>
      <c r="AW916" s="39"/>
      <c r="AX916" s="26"/>
      <c r="AY916" s="26"/>
      <c r="AZ916" s="45"/>
      <c r="BA916" s="45"/>
    </row>
    <row r="917" spans="1:53" ht="15.75" customHeight="1" x14ac:dyDescent="0.25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39"/>
      <c r="AW917" s="39"/>
      <c r="AX917" s="26"/>
      <c r="AY917" s="26"/>
      <c r="AZ917" s="40"/>
      <c r="BA917" s="40"/>
    </row>
    <row r="918" spans="1:53" ht="15.75" customHeight="1" x14ac:dyDescent="0.25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39"/>
      <c r="AW918" s="39"/>
      <c r="AX918" s="26"/>
      <c r="AY918" s="26"/>
      <c r="AZ918" s="45"/>
      <c r="BA918" s="45"/>
    </row>
    <row r="919" spans="1:53" ht="15.75" customHeight="1" x14ac:dyDescent="0.25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39"/>
      <c r="AW919" s="39"/>
      <c r="AX919" s="26"/>
      <c r="AY919" s="26"/>
      <c r="AZ919" s="40"/>
      <c r="BA919" s="40"/>
    </row>
    <row r="920" spans="1:53" ht="15.75" customHeight="1" x14ac:dyDescent="0.25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39"/>
      <c r="AW920" s="39"/>
      <c r="AX920" s="26"/>
      <c r="AY920" s="26"/>
      <c r="AZ920" s="45"/>
      <c r="BA920" s="45"/>
    </row>
    <row r="921" spans="1:53" ht="15.75" customHeight="1" x14ac:dyDescent="0.25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39"/>
      <c r="AW921" s="39"/>
      <c r="AX921" s="26"/>
      <c r="AY921" s="26"/>
      <c r="AZ921" s="40"/>
      <c r="BA921" s="40"/>
    </row>
    <row r="922" spans="1:53" ht="15.75" customHeight="1" x14ac:dyDescent="0.25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39"/>
      <c r="AW922" s="39"/>
      <c r="AX922" s="26"/>
      <c r="AY922" s="26"/>
      <c r="AZ922" s="45"/>
      <c r="BA922" s="45"/>
    </row>
    <row r="923" spans="1:53" ht="15.75" customHeight="1" x14ac:dyDescent="0.25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39"/>
      <c r="AW923" s="39"/>
      <c r="AX923" s="26"/>
      <c r="AY923" s="26"/>
      <c r="AZ923" s="40"/>
      <c r="BA923" s="40"/>
    </row>
    <row r="924" spans="1:53" ht="15.75" customHeight="1" x14ac:dyDescent="0.25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39"/>
      <c r="AW924" s="39"/>
      <c r="AX924" s="26"/>
      <c r="AY924" s="26"/>
      <c r="AZ924" s="45"/>
      <c r="BA924" s="45"/>
    </row>
    <row r="925" spans="1:53" ht="15.75" customHeight="1" x14ac:dyDescent="0.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39"/>
      <c r="AW925" s="39"/>
      <c r="AX925" s="26"/>
      <c r="AY925" s="26"/>
      <c r="AZ925" s="40"/>
      <c r="BA925" s="40"/>
    </row>
    <row r="926" spans="1:53" ht="15.75" customHeight="1" x14ac:dyDescent="0.25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39"/>
      <c r="AW926" s="39"/>
      <c r="AX926" s="26"/>
      <c r="AY926" s="26"/>
      <c r="AZ926" s="45"/>
      <c r="BA926" s="45"/>
    </row>
    <row r="927" spans="1:53" ht="15.75" customHeight="1" x14ac:dyDescent="0.25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39"/>
      <c r="AW927" s="39"/>
      <c r="AX927" s="26"/>
      <c r="AY927" s="26"/>
      <c r="AZ927" s="40"/>
      <c r="BA927" s="40"/>
    </row>
    <row r="928" spans="1:53" ht="15.75" customHeight="1" x14ac:dyDescent="0.25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39"/>
      <c r="AW928" s="39"/>
      <c r="AX928" s="26"/>
      <c r="AY928" s="26"/>
      <c r="AZ928" s="45"/>
      <c r="BA928" s="45"/>
    </row>
    <row r="929" spans="1:53" ht="15.75" customHeight="1" x14ac:dyDescent="0.25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39"/>
      <c r="AW929" s="39"/>
      <c r="AX929" s="26"/>
      <c r="AY929" s="26"/>
      <c r="AZ929" s="40"/>
      <c r="BA929" s="40"/>
    </row>
    <row r="930" spans="1:53" ht="15.75" customHeight="1" x14ac:dyDescent="0.25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39"/>
      <c r="AW930" s="39"/>
      <c r="AX930" s="26"/>
      <c r="AY930" s="26"/>
      <c r="AZ930" s="45"/>
      <c r="BA930" s="45"/>
    </row>
    <row r="931" spans="1:53" ht="15.75" customHeight="1" x14ac:dyDescent="0.25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39"/>
      <c r="AW931" s="39"/>
      <c r="AX931" s="26"/>
      <c r="AY931" s="26"/>
      <c r="AZ931" s="40"/>
      <c r="BA931" s="40"/>
    </row>
    <row r="932" spans="1:53" ht="15.75" customHeight="1" x14ac:dyDescent="0.25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39"/>
      <c r="AW932" s="39"/>
      <c r="AX932" s="26"/>
      <c r="AY932" s="26"/>
      <c r="AZ932" s="45"/>
      <c r="BA932" s="45"/>
    </row>
    <row r="933" spans="1:53" ht="15.75" customHeight="1" x14ac:dyDescent="0.25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39"/>
      <c r="AW933" s="39"/>
      <c r="AX933" s="26"/>
      <c r="AY933" s="26"/>
      <c r="AZ933" s="40"/>
      <c r="BA933" s="40"/>
    </row>
    <row r="934" spans="1:53" ht="15.75" customHeight="1" x14ac:dyDescent="0.25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39"/>
      <c r="AW934" s="39"/>
      <c r="AX934" s="26"/>
      <c r="AY934" s="26"/>
      <c r="AZ934" s="45"/>
      <c r="BA934" s="45"/>
    </row>
    <row r="935" spans="1:53" ht="15.75" customHeight="1" x14ac:dyDescent="0.2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39"/>
      <c r="AW935" s="39"/>
      <c r="AX935" s="26"/>
      <c r="AY935" s="26"/>
      <c r="AZ935" s="40"/>
      <c r="BA935" s="40"/>
    </row>
    <row r="936" spans="1:53" ht="15.75" customHeight="1" x14ac:dyDescent="0.25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39"/>
      <c r="AW936" s="39"/>
      <c r="AX936" s="26"/>
      <c r="AY936" s="26"/>
      <c r="AZ936" s="45"/>
      <c r="BA936" s="45"/>
    </row>
    <row r="937" spans="1:53" ht="15.75" customHeight="1" x14ac:dyDescent="0.25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39"/>
      <c r="AW937" s="39"/>
      <c r="AX937" s="26"/>
      <c r="AY937" s="26"/>
      <c r="AZ937" s="40"/>
      <c r="BA937" s="40"/>
    </row>
    <row r="938" spans="1:53" ht="15.75" customHeight="1" x14ac:dyDescent="0.25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39"/>
      <c r="AW938" s="39"/>
      <c r="AX938" s="26"/>
      <c r="AY938" s="26"/>
      <c r="AZ938" s="45"/>
      <c r="BA938" s="45"/>
    </row>
    <row r="939" spans="1:53" ht="15.75" customHeight="1" x14ac:dyDescent="0.25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39"/>
      <c r="AW939" s="39"/>
      <c r="AX939" s="26"/>
      <c r="AY939" s="26"/>
      <c r="AZ939" s="40"/>
      <c r="BA939" s="40"/>
    </row>
    <row r="940" spans="1:53" ht="15.75" customHeight="1" x14ac:dyDescent="0.25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39"/>
      <c r="AW940" s="39"/>
      <c r="AX940" s="26"/>
      <c r="AY940" s="26"/>
      <c r="AZ940" s="45"/>
      <c r="BA940" s="45"/>
    </row>
    <row r="941" spans="1:53" ht="15.75" customHeight="1" x14ac:dyDescent="0.25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39"/>
      <c r="AW941" s="39"/>
      <c r="AX941" s="26"/>
      <c r="AY941" s="26"/>
      <c r="AZ941" s="40"/>
      <c r="BA941" s="40"/>
    </row>
    <row r="942" spans="1:53" ht="15.75" customHeight="1" x14ac:dyDescent="0.25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39"/>
      <c r="AW942" s="39"/>
      <c r="AX942" s="26"/>
      <c r="AY942" s="26"/>
      <c r="AZ942" s="45"/>
      <c r="BA942" s="45"/>
    </row>
    <row r="943" spans="1:53" ht="15.75" customHeight="1" x14ac:dyDescent="0.25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39"/>
      <c r="AW943" s="39"/>
      <c r="AX943" s="26"/>
      <c r="AY943" s="26"/>
      <c r="AZ943" s="40"/>
      <c r="BA943" s="40"/>
    </row>
    <row r="944" spans="1:53" ht="15.75" customHeight="1" x14ac:dyDescent="0.25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39"/>
      <c r="AW944" s="39"/>
      <c r="AX944" s="26"/>
      <c r="AY944" s="26"/>
      <c r="AZ944" s="45"/>
      <c r="BA944" s="45"/>
    </row>
    <row r="945" spans="1:53" ht="15.75" customHeight="1" x14ac:dyDescent="0.2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39"/>
      <c r="AW945" s="39"/>
      <c r="AX945" s="26"/>
      <c r="AY945" s="26"/>
      <c r="AZ945" s="40"/>
      <c r="BA945" s="40"/>
    </row>
    <row r="946" spans="1:53" ht="15.75" customHeight="1" x14ac:dyDescent="0.25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39"/>
      <c r="AW946" s="39"/>
      <c r="AX946" s="26"/>
      <c r="AY946" s="26"/>
      <c r="AZ946" s="45"/>
      <c r="BA946" s="45"/>
    </row>
    <row r="947" spans="1:53" ht="15.75" customHeight="1" x14ac:dyDescent="0.25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39"/>
      <c r="AW947" s="39"/>
      <c r="AX947" s="26"/>
      <c r="AY947" s="26"/>
      <c r="AZ947" s="40"/>
      <c r="BA947" s="40"/>
    </row>
    <row r="948" spans="1:53" ht="15.75" customHeight="1" x14ac:dyDescent="0.25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39"/>
      <c r="AW948" s="39"/>
      <c r="AX948" s="26"/>
      <c r="AY948" s="26"/>
      <c r="AZ948" s="45"/>
      <c r="BA948" s="45"/>
    </row>
    <row r="949" spans="1:53" ht="15.75" customHeight="1" x14ac:dyDescent="0.25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39"/>
      <c r="AW949" s="39"/>
      <c r="AX949" s="26"/>
      <c r="AY949" s="26"/>
      <c r="AZ949" s="40"/>
      <c r="BA949" s="40"/>
    </row>
    <row r="950" spans="1:53" ht="15.75" customHeight="1" x14ac:dyDescent="0.25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39"/>
      <c r="AW950" s="39"/>
      <c r="AX950" s="26"/>
      <c r="AY950" s="26"/>
      <c r="AZ950" s="45"/>
      <c r="BA950" s="45"/>
    </row>
    <row r="951" spans="1:53" ht="15.75" customHeight="1" x14ac:dyDescent="0.25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39"/>
      <c r="AW951" s="39"/>
      <c r="AX951" s="26"/>
      <c r="AY951" s="26"/>
      <c r="AZ951" s="40"/>
      <c r="BA951" s="40"/>
    </row>
    <row r="952" spans="1:53" ht="15.75" customHeight="1" x14ac:dyDescent="0.25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39"/>
      <c r="AW952" s="39"/>
      <c r="AX952" s="26"/>
      <c r="AY952" s="26"/>
      <c r="AZ952" s="45"/>
      <c r="BA952" s="45"/>
    </row>
    <row r="953" spans="1:53" ht="15.75" customHeight="1" x14ac:dyDescent="0.25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39"/>
      <c r="AW953" s="39"/>
      <c r="AX953" s="26"/>
      <c r="AY953" s="26"/>
      <c r="AZ953" s="40"/>
      <c r="BA953" s="40"/>
    </row>
    <row r="954" spans="1:53" ht="15.75" customHeight="1" x14ac:dyDescent="0.25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39"/>
      <c r="AW954" s="39"/>
      <c r="AX954" s="26"/>
      <c r="AY954" s="26"/>
      <c r="AZ954" s="45"/>
      <c r="BA954" s="45"/>
    </row>
    <row r="955" spans="1:53" ht="15.75" customHeight="1" x14ac:dyDescent="0.2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39"/>
      <c r="AW955" s="39"/>
      <c r="AX955" s="26"/>
      <c r="AY955" s="26"/>
      <c r="AZ955" s="40"/>
      <c r="BA955" s="40"/>
    </row>
    <row r="956" spans="1:53" ht="15.75" customHeight="1" x14ac:dyDescent="0.25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39"/>
      <c r="AW956" s="39"/>
      <c r="AX956" s="26"/>
      <c r="AY956" s="26"/>
      <c r="AZ956" s="45"/>
      <c r="BA956" s="45"/>
    </row>
    <row r="957" spans="1:53" ht="15.75" customHeight="1" x14ac:dyDescent="0.25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39"/>
      <c r="AW957" s="39"/>
      <c r="AX957" s="26"/>
      <c r="AY957" s="26"/>
      <c r="AZ957" s="40"/>
      <c r="BA957" s="40"/>
    </row>
    <row r="958" spans="1:53" ht="15.75" customHeight="1" x14ac:dyDescent="0.25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39"/>
      <c r="AW958" s="39"/>
      <c r="AX958" s="26"/>
      <c r="AY958" s="26"/>
      <c r="AZ958" s="45"/>
      <c r="BA958" s="45"/>
    </row>
    <row r="959" spans="1:53" ht="15.75" customHeight="1" x14ac:dyDescent="0.25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39"/>
      <c r="AW959" s="39"/>
      <c r="AX959" s="26"/>
      <c r="AY959" s="26"/>
      <c r="AZ959" s="40"/>
      <c r="BA959" s="40"/>
    </row>
    <row r="960" spans="1:53" ht="15.75" customHeight="1" x14ac:dyDescent="0.25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39"/>
      <c r="AW960" s="39"/>
      <c r="AX960" s="26"/>
      <c r="AY960" s="26"/>
      <c r="AZ960" s="45"/>
      <c r="BA960" s="45"/>
    </row>
    <row r="961" spans="1:53" ht="15.75" customHeight="1" x14ac:dyDescent="0.25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39"/>
      <c r="AW961" s="39"/>
      <c r="AX961" s="26"/>
      <c r="AY961" s="26"/>
      <c r="AZ961" s="40"/>
      <c r="BA961" s="40"/>
    </row>
    <row r="962" spans="1:53" ht="15.75" customHeight="1" x14ac:dyDescent="0.25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39"/>
      <c r="AW962" s="39"/>
      <c r="AX962" s="26"/>
      <c r="AY962" s="26"/>
      <c r="AZ962" s="45"/>
      <c r="BA962" s="45"/>
    </row>
    <row r="963" spans="1:53" ht="15.75" customHeight="1" x14ac:dyDescent="0.25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39"/>
      <c r="AW963" s="39"/>
      <c r="AX963" s="26"/>
      <c r="AY963" s="26"/>
      <c r="AZ963" s="40"/>
      <c r="BA963" s="40"/>
    </row>
    <row r="964" spans="1:53" ht="15.75" customHeight="1" x14ac:dyDescent="0.25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39"/>
      <c r="AW964" s="39"/>
      <c r="AX964" s="26"/>
      <c r="AY964" s="26"/>
      <c r="AZ964" s="45"/>
      <c r="BA964" s="45"/>
    </row>
    <row r="965" spans="1:53" ht="15.75" customHeight="1" x14ac:dyDescent="0.2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39"/>
      <c r="AW965" s="39"/>
      <c r="AX965" s="26"/>
      <c r="AY965" s="26"/>
      <c r="AZ965" s="40"/>
      <c r="BA965" s="40"/>
    </row>
    <row r="966" spans="1:53" ht="15.75" customHeight="1" x14ac:dyDescent="0.25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39"/>
      <c r="AW966" s="39"/>
      <c r="AX966" s="26"/>
      <c r="AY966" s="26"/>
      <c r="AZ966" s="45"/>
      <c r="BA966" s="45"/>
    </row>
    <row r="967" spans="1:53" ht="15.75" customHeight="1" x14ac:dyDescent="0.25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39"/>
      <c r="AW967" s="39"/>
      <c r="AX967" s="26"/>
      <c r="AY967" s="26"/>
      <c r="AZ967" s="40"/>
      <c r="BA967" s="40"/>
    </row>
    <row r="968" spans="1:53" ht="15.75" customHeight="1" x14ac:dyDescent="0.25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39"/>
      <c r="AW968" s="39"/>
      <c r="AX968" s="26"/>
      <c r="AY968" s="26"/>
      <c r="AZ968" s="45"/>
      <c r="BA968" s="45"/>
    </row>
    <row r="969" spans="1:53" ht="15.75" customHeight="1" x14ac:dyDescent="0.25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39"/>
      <c r="AW969" s="39"/>
      <c r="AX969" s="26"/>
      <c r="AY969" s="26"/>
      <c r="AZ969" s="40"/>
      <c r="BA969" s="40"/>
    </row>
    <row r="970" spans="1:53" ht="15.75" customHeight="1" x14ac:dyDescent="0.25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39"/>
      <c r="AW970" s="39"/>
      <c r="AX970" s="26"/>
      <c r="AY970" s="26"/>
      <c r="AZ970" s="45"/>
      <c r="BA970" s="45"/>
    </row>
    <row r="971" spans="1:53" ht="15.75" customHeight="1" x14ac:dyDescent="0.25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39"/>
      <c r="AW971" s="39"/>
      <c r="AX971" s="26"/>
      <c r="AY971" s="26"/>
      <c r="AZ971" s="40"/>
      <c r="BA971" s="40"/>
    </row>
    <row r="972" spans="1:53" ht="15.75" customHeight="1" x14ac:dyDescent="0.25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39"/>
      <c r="AW972" s="39"/>
      <c r="AX972" s="26"/>
      <c r="AY972" s="26"/>
      <c r="AZ972" s="45"/>
      <c r="BA972" s="45"/>
    </row>
    <row r="973" spans="1:53" ht="15.75" customHeight="1" x14ac:dyDescent="0.25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39"/>
      <c r="AW973" s="39"/>
      <c r="AX973" s="26"/>
      <c r="AY973" s="26"/>
      <c r="AZ973" s="40"/>
      <c r="BA973" s="40"/>
    </row>
    <row r="974" spans="1:53" ht="15.75" customHeight="1" x14ac:dyDescent="0.25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39"/>
      <c r="AW974" s="39"/>
      <c r="AX974" s="26"/>
      <c r="AY974" s="26"/>
      <c r="AZ974" s="45"/>
      <c r="BA974" s="45"/>
    </row>
    <row r="975" spans="1:53" ht="15.75" customHeight="1" x14ac:dyDescent="0.2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39"/>
      <c r="AW975" s="39"/>
      <c r="AX975" s="26"/>
      <c r="AY975" s="26"/>
      <c r="AZ975" s="40"/>
      <c r="BA975" s="40"/>
    </row>
    <row r="976" spans="1:53" ht="15.75" customHeight="1" x14ac:dyDescent="0.25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39"/>
      <c r="AW976" s="39"/>
      <c r="AX976" s="26"/>
      <c r="AY976" s="26"/>
      <c r="AZ976" s="45"/>
      <c r="BA976" s="45"/>
    </row>
    <row r="977" spans="1:53" ht="15.75" customHeight="1" x14ac:dyDescent="0.25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39"/>
      <c r="AW977" s="39"/>
      <c r="AX977" s="26"/>
      <c r="AY977" s="26"/>
      <c r="AZ977" s="40"/>
      <c r="BA977" s="40"/>
    </row>
    <row r="978" spans="1:53" ht="15.75" customHeight="1" x14ac:dyDescent="0.25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39"/>
      <c r="AW978" s="39"/>
      <c r="AX978" s="26"/>
      <c r="AY978" s="26"/>
      <c r="AZ978" s="45"/>
      <c r="BA978" s="45"/>
    </row>
    <row r="979" spans="1:53" ht="15.75" customHeight="1" x14ac:dyDescent="0.25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39"/>
      <c r="AW979" s="39"/>
      <c r="AX979" s="26"/>
      <c r="AY979" s="26"/>
      <c r="AZ979" s="40"/>
      <c r="BA979" s="40"/>
    </row>
    <row r="980" spans="1:53" ht="15.75" customHeight="1" x14ac:dyDescent="0.25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39"/>
      <c r="AW980" s="39"/>
      <c r="AX980" s="26"/>
      <c r="AY980" s="26"/>
      <c r="AZ980" s="45"/>
      <c r="BA980" s="45"/>
    </row>
    <row r="981" spans="1:53" ht="15.75" customHeight="1" x14ac:dyDescent="0.25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39"/>
      <c r="AW981" s="39"/>
      <c r="AX981" s="26"/>
      <c r="AY981" s="26"/>
      <c r="AZ981" s="40"/>
      <c r="BA981" s="40"/>
    </row>
    <row r="982" spans="1:53" ht="15.75" customHeight="1" x14ac:dyDescent="0.25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39"/>
      <c r="AW982" s="39"/>
      <c r="AX982" s="26"/>
      <c r="AY982" s="26"/>
      <c r="AZ982" s="45"/>
      <c r="BA982" s="45"/>
    </row>
    <row r="983" spans="1:53" ht="15.75" customHeight="1" x14ac:dyDescent="0.25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39"/>
      <c r="AW983" s="39"/>
      <c r="AX983" s="26"/>
      <c r="AY983" s="26"/>
      <c r="AZ983" s="40"/>
      <c r="BA983" s="40"/>
    </row>
    <row r="984" spans="1:53" ht="15.75" customHeight="1" x14ac:dyDescent="0.25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39"/>
      <c r="AW984" s="39"/>
      <c r="AX984" s="26"/>
      <c r="AY984" s="26"/>
      <c r="AZ984" s="45"/>
      <c r="BA984" s="45"/>
    </row>
    <row r="985" spans="1:53" ht="15.75" customHeight="1" x14ac:dyDescent="0.2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39"/>
      <c r="AW985" s="39"/>
      <c r="AX985" s="26"/>
      <c r="AY985" s="26"/>
      <c r="AZ985" s="40"/>
      <c r="BA985" s="40"/>
    </row>
    <row r="986" spans="1:53" ht="15.75" customHeight="1" x14ac:dyDescent="0.25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39"/>
      <c r="AW986" s="39"/>
      <c r="AX986" s="26"/>
      <c r="AY986" s="26"/>
      <c r="AZ986" s="45"/>
      <c r="BA986" s="45"/>
    </row>
    <row r="987" spans="1:53" ht="15.75" customHeight="1" x14ac:dyDescent="0.25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39"/>
      <c r="AW987" s="39"/>
      <c r="AX987" s="26"/>
      <c r="AY987" s="26"/>
      <c r="AZ987" s="40"/>
      <c r="BA987" s="40"/>
    </row>
    <row r="988" spans="1:53" ht="15.75" customHeight="1" x14ac:dyDescent="0.25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39"/>
      <c r="AW988" s="39"/>
      <c r="AX988" s="26"/>
      <c r="AY988" s="26"/>
      <c r="AZ988" s="45"/>
      <c r="BA988" s="45"/>
    </row>
    <row r="989" spans="1:53" ht="15.75" customHeight="1" x14ac:dyDescent="0.25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39"/>
      <c r="AW989" s="39"/>
      <c r="AX989" s="26"/>
      <c r="AY989" s="26"/>
      <c r="AZ989" s="40"/>
      <c r="BA989" s="40"/>
    </row>
    <row r="990" spans="1:53" ht="15.75" customHeight="1" x14ac:dyDescent="0.25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39"/>
      <c r="AW990" s="39"/>
      <c r="AX990" s="26"/>
      <c r="AY990" s="26"/>
      <c r="AZ990" s="45"/>
      <c r="BA990" s="45"/>
    </row>
    <row r="991" spans="1:53" ht="15.75" customHeight="1" x14ac:dyDescent="0.25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39"/>
      <c r="AW991" s="39"/>
      <c r="AX991" s="26"/>
      <c r="AY991" s="26"/>
      <c r="AZ991" s="40"/>
      <c r="BA991" s="40"/>
    </row>
    <row r="992" spans="1:53" ht="15.75" customHeight="1" x14ac:dyDescent="0.25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39"/>
      <c r="AW992" s="39"/>
      <c r="AX992" s="26"/>
      <c r="AY992" s="26"/>
      <c r="AZ992" s="45"/>
      <c r="BA992" s="45"/>
    </row>
    <row r="993" spans="1:53" ht="15.75" customHeight="1" x14ac:dyDescent="0.25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39"/>
      <c r="AW993" s="39"/>
      <c r="AX993" s="26"/>
      <c r="AY993" s="26"/>
      <c r="AZ993" s="40"/>
      <c r="BA993" s="40"/>
    </row>
    <row r="994" spans="1:53" ht="15.75" customHeight="1" x14ac:dyDescent="0.25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39"/>
      <c r="AW994" s="39"/>
      <c r="AX994" s="26"/>
      <c r="AY994" s="26"/>
      <c r="AZ994" s="45"/>
      <c r="BA994" s="45"/>
    </row>
    <row r="995" spans="1:53" ht="15.75" customHeight="1" x14ac:dyDescent="0.2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39"/>
      <c r="AW995" s="39"/>
      <c r="AX995" s="26"/>
      <c r="AY995" s="26"/>
      <c r="AZ995" s="40"/>
      <c r="BA995" s="40"/>
    </row>
    <row r="996" spans="1:53" ht="15.75" customHeight="1" x14ac:dyDescent="0.25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39"/>
      <c r="AW996" s="39"/>
      <c r="AX996" s="26"/>
      <c r="AY996" s="26"/>
      <c r="AZ996" s="45"/>
      <c r="BA996" s="45"/>
    </row>
    <row r="997" spans="1:53" ht="15.75" customHeight="1" x14ac:dyDescent="0.25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39"/>
      <c r="AW997" s="39"/>
      <c r="AX997" s="26"/>
      <c r="AY997" s="26"/>
      <c r="AZ997" s="40"/>
      <c r="BA997" s="40"/>
    </row>
    <row r="998" spans="1:53" ht="15.75" customHeight="1" x14ac:dyDescent="0.25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39"/>
      <c r="AW998" s="39"/>
      <c r="AX998" s="26"/>
      <c r="AY998" s="26"/>
      <c r="AZ998" s="45"/>
      <c r="BA998" s="45"/>
    </row>
    <row r="999" spans="1:53" ht="15.75" customHeight="1" x14ac:dyDescent="0.25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39"/>
      <c r="AW999" s="39"/>
      <c r="AX999" s="26"/>
      <c r="AY999" s="26"/>
      <c r="AZ999" s="40"/>
      <c r="BA999" s="40"/>
    </row>
  </sheetData>
  <dataValidations count="3">
    <dataValidation type="list" allowBlank="1" showErrorMessage="1" sqref="AS3 AS5:AS7 AS9:AS999" xr:uid="{00000000-0002-0000-0200-000001000000}">
      <formula1>"SI,NO"</formula1>
    </dataValidation>
    <dataValidation type="list" allowBlank="1" showErrorMessage="1" sqref="L3:M3 L5:M7 L9:M999" xr:uid="{00000000-0002-0000-0200-000004000000}">
      <formula1>"1,2,3"</formula1>
    </dataValidation>
    <dataValidation type="list" allowBlank="1" showErrorMessage="1" sqref="AJ3:AP3 AJ5:AP7 AJ9:AP999" xr:uid="{00000000-0002-0000-0200-000008000000}">
      <formula1>"SI,NO,N/A"</formula1>
    </dataValidation>
  </dataValidations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8">
        <x14:dataValidation type="list" allowBlank="1" showErrorMessage="1" xr:uid="{00000000-0002-0000-0200-000000000000}">
          <x14:formula1>
            <xm:f>Hoja3!$G$2:$G$9</xm:f>
          </x14:formula1>
          <xm:sqref>H3 H5:H7 H9:H999</xm:sqref>
        </x14:dataValidation>
        <x14:dataValidation type="list" allowBlank="1" showErrorMessage="1" xr:uid="{00000000-0002-0000-0200-000002000000}">
          <x14:formula1>
            <xm:f>Hoja3!$AE$2:$AE$8</xm:f>
          </x14:formula1>
          <xm:sqref>AI3 AI5:AI7 AI9:AI999</xm:sqref>
        </x14:dataValidation>
        <x14:dataValidation type="list" allowBlank="1" showErrorMessage="1" xr:uid="{00000000-0002-0000-0200-000003000000}">
          <x14:formula1>
            <xm:f>Hoja3!$AG$2:$AG$4</xm:f>
          </x14:formula1>
          <xm:sqref>AR3 AR5:AR7 AR9:AR999</xm:sqref>
        </x14:dataValidation>
        <x14:dataValidation type="list" allowBlank="1" showErrorMessage="1" xr:uid="{00000000-0002-0000-0200-000005000000}">
          <x14:formula1>
            <xm:f>Hoja3!$R$2:$R$5</xm:f>
          </x14:formula1>
          <xm:sqref>S3 S5:S7 S9:S999</xm:sqref>
        </x14:dataValidation>
        <x14:dataValidation type="list" allowBlank="1" showErrorMessage="1" xr:uid="{00000000-0002-0000-0200-000006000000}">
          <x14:formula1>
            <xm:f>Hoja3!$C$2:$C$3</xm:f>
          </x14:formula1>
          <xm:sqref>C3 C5:C7 C9:C999</xm:sqref>
        </x14:dataValidation>
        <x14:dataValidation type="list" allowBlank="1" showErrorMessage="1" xr:uid="{00000000-0002-0000-0200-000007000000}">
          <x14:formula1>
            <xm:f>Hoja3!$AD$2:$AD$7</xm:f>
          </x14:formula1>
          <xm:sqref>AH3 AH5:AH7 AH9:AH999</xm:sqref>
        </x14:dataValidation>
        <x14:dataValidation type="list" allowBlank="1" showErrorMessage="1" xr:uid="{00000000-0002-0000-0200-000009000000}">
          <x14:formula1>
            <xm:f>Hoja3!$V$2:$V$6</xm:f>
          </x14:formula1>
          <xm:sqref>W3 W5:W7 W9:W999</xm:sqref>
        </x14:dataValidation>
        <x14:dataValidation type="list" allowBlank="1" showErrorMessage="1" xr:uid="{00000000-0002-0000-0200-00000A000000}">
          <x14:formula1>
            <xm:f>Hoja3!$D$2:$D$8</xm:f>
          </x14:formula1>
          <xm:sqref>D3 D5:D7 D9:D999</xm:sqref>
        </x14:dataValidation>
        <x14:dataValidation type="list" allowBlank="1" showErrorMessage="1" xr:uid="{00000000-0002-0000-0200-00000B000000}">
          <x14:formula1>
            <xm:f>Hoja3!$N$2:$N$5</xm:f>
          </x14:formula1>
          <xm:sqref>O3 O5:O7 O9:O999</xm:sqref>
        </x14:dataValidation>
        <x14:dataValidation type="list" allowBlank="1" showErrorMessage="1" xr:uid="{00000000-0002-0000-0200-00000C000000}">
          <x14:formula1>
            <xm:f>Hoja3!$AM$2:$AM$9</xm:f>
          </x14:formula1>
          <xm:sqref>AX3 AX5:AX7 AX9:AX999</xm:sqref>
        </x14:dataValidation>
        <x14:dataValidation type="list" allowBlank="1" showErrorMessage="1" xr:uid="{00000000-0002-0000-0200-00000D000000}">
          <x14:formula1>
            <xm:f>Hoja3!$B$2:$B$4</xm:f>
          </x14:formula1>
          <xm:sqref>B3 B5:B7 B9:B999</xm:sqref>
        </x14:dataValidation>
        <x14:dataValidation type="list" allowBlank="1" showErrorMessage="1" xr:uid="{00000000-0002-0000-0200-00000E000000}">
          <x14:formula1>
            <xm:f>Hoja3!$U$2:$U$4</xm:f>
          </x14:formula1>
          <xm:sqref>V3 V5:V7 V9:V999</xm:sqref>
        </x14:dataValidation>
        <x14:dataValidation type="list" allowBlank="1" xr:uid="{00000000-0002-0000-0200-00000F000000}">
          <x14:formula1>
            <xm:f>Hoja3!$I$2:$I$3</xm:f>
          </x14:formula1>
          <xm:sqref>J3 J5:J7 J9:J999</xm:sqref>
        </x14:dataValidation>
        <x14:dataValidation type="list" allowBlank="1" showErrorMessage="1" xr:uid="{00000000-0002-0000-0200-000010000000}">
          <x14:formula1>
            <xm:f>Hoja3!$AI$2:$AI$4</xm:f>
          </x14:formula1>
          <xm:sqref>AT3 AT5:AT7 AT9:AT999</xm:sqref>
        </x14:dataValidation>
        <x14:dataValidation type="list" allowBlank="1" showErrorMessage="1" xr:uid="{00000000-0002-0000-0200-000011000000}">
          <x14:formula1>
            <xm:f>Hoja3!$Q$2:$Q$4</xm:f>
          </x14:formula1>
          <xm:sqref>R3 R5:R7 R9:R999</xm:sqref>
        </x14:dataValidation>
        <x14:dataValidation type="list" allowBlank="1" showErrorMessage="1" xr:uid="{00000000-0002-0000-0200-000012000000}">
          <x14:formula1>
            <xm:f>Hoja3!$O$2:$O$3</xm:f>
          </x14:formula1>
          <xm:sqref>P3 P5:P7 P9:P999</xm:sqref>
        </x14:dataValidation>
        <x14:dataValidation type="list" allowBlank="1" showErrorMessage="1" xr:uid="{00000000-0002-0000-0200-000013000000}">
          <x14:formula1>
            <xm:f>Hoja3!$S$2:$S$5</xm:f>
          </x14:formula1>
          <xm:sqref>T3 T5:T7 T9:T999</xm:sqref>
        </x14:dataValidation>
        <x14:dataValidation type="list" allowBlank="1" showErrorMessage="1" xr:uid="{00000000-0002-0000-0200-000014000000}">
          <x14:formula1>
            <xm:f>Hoja3!$T$2:$T$6</xm:f>
          </x14:formula1>
          <xm:sqref>U3 U5:U7 U9:U999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999"/>
  <sheetViews>
    <sheetView topLeftCell="AE1" workbookViewId="0"/>
  </sheetViews>
  <sheetFormatPr baseColWidth="10" defaultColWidth="14.42578125" defaultRowHeight="15" customHeight="1" x14ac:dyDescent="0.25"/>
  <cols>
    <col min="1" max="1" width="11.42578125" customWidth="1"/>
    <col min="2" max="2" width="15.7109375" customWidth="1"/>
    <col min="3" max="3" width="13" customWidth="1"/>
    <col min="4" max="4" width="9.28515625" customWidth="1"/>
    <col min="5" max="5" width="11.7109375" customWidth="1"/>
    <col min="6" max="6" width="19.5703125" customWidth="1"/>
    <col min="7" max="7" width="8.5703125" customWidth="1"/>
    <col min="8" max="8" width="19.85546875" customWidth="1"/>
    <col min="9" max="9" width="10.140625" customWidth="1"/>
    <col min="10" max="10" width="23.42578125" customWidth="1"/>
    <col min="11" max="11" width="8.7109375" customWidth="1"/>
    <col min="12" max="12" width="26.140625" customWidth="1"/>
    <col min="13" max="13" width="18" customWidth="1"/>
    <col min="14" max="14" width="15.42578125" customWidth="1"/>
    <col min="15" max="15" width="16.85546875" customWidth="1"/>
    <col min="16" max="16" width="14.85546875" customWidth="1"/>
    <col min="17" max="17" width="17.42578125" customWidth="1"/>
    <col min="18" max="18" width="14.28515625" customWidth="1"/>
    <col min="19" max="19" width="16.7109375" customWidth="1"/>
    <col min="20" max="20" width="15" customWidth="1"/>
    <col min="21" max="21" width="19" customWidth="1"/>
    <col min="22" max="22" width="20.85546875" customWidth="1"/>
    <col min="23" max="23" width="19.42578125" customWidth="1"/>
    <col min="24" max="24" width="16.42578125" customWidth="1"/>
    <col min="25" max="25" width="17.7109375" customWidth="1"/>
    <col min="26" max="26" width="18.85546875" customWidth="1"/>
    <col min="27" max="27" width="20.85546875" customWidth="1"/>
    <col min="28" max="28" width="22.7109375" customWidth="1"/>
    <col min="29" max="29" width="19.7109375" customWidth="1"/>
    <col min="30" max="30" width="17.85546875" customWidth="1"/>
    <col min="31" max="31" width="13.5703125" customWidth="1"/>
    <col min="32" max="32" width="24" customWidth="1"/>
    <col min="33" max="33" width="15.28515625" customWidth="1"/>
    <col min="34" max="34" width="31.42578125" customWidth="1"/>
    <col min="35" max="35" width="18" customWidth="1"/>
    <col min="36" max="36" width="31.42578125" customWidth="1"/>
    <col min="37" max="37" width="25.85546875" customWidth="1"/>
    <col min="38" max="38" width="40" customWidth="1"/>
    <col min="39" max="39" width="16.140625" customWidth="1"/>
    <col min="40" max="40" width="22.5703125" customWidth="1"/>
    <col min="41" max="41" width="30.140625" customWidth="1"/>
  </cols>
  <sheetData>
    <row r="1" spans="1:41" x14ac:dyDescent="0.25">
      <c r="A1" s="53" t="s">
        <v>20</v>
      </c>
      <c r="B1" s="53" t="s">
        <v>21</v>
      </c>
      <c r="C1" s="53" t="s">
        <v>22</v>
      </c>
      <c r="D1" s="53" t="s">
        <v>0</v>
      </c>
      <c r="E1" s="53" t="s">
        <v>1</v>
      </c>
      <c r="F1" s="53" t="s">
        <v>2</v>
      </c>
      <c r="G1" s="53" t="s">
        <v>308</v>
      </c>
      <c r="H1" s="53" t="s">
        <v>5</v>
      </c>
      <c r="I1" s="53" t="s">
        <v>6</v>
      </c>
      <c r="J1" s="53" t="s">
        <v>7</v>
      </c>
      <c r="K1" s="53" t="s">
        <v>8</v>
      </c>
      <c r="L1" s="53" t="s">
        <v>24</v>
      </c>
      <c r="M1" s="53" t="s">
        <v>9</v>
      </c>
      <c r="N1" s="53" t="s">
        <v>10</v>
      </c>
      <c r="O1" s="53" t="s">
        <v>25</v>
      </c>
      <c r="P1" s="53" t="s">
        <v>26</v>
      </c>
      <c r="Q1" s="53" t="s">
        <v>27</v>
      </c>
      <c r="R1" s="53" t="s">
        <v>28</v>
      </c>
      <c r="S1" s="53" t="s">
        <v>29</v>
      </c>
      <c r="T1" s="53" t="s">
        <v>30</v>
      </c>
      <c r="U1" s="53" t="s">
        <v>31</v>
      </c>
      <c r="V1" s="53" t="s">
        <v>32</v>
      </c>
      <c r="W1" s="53" t="s">
        <v>33</v>
      </c>
      <c r="X1" s="53" t="s">
        <v>34</v>
      </c>
      <c r="Y1" s="53" t="s">
        <v>35</v>
      </c>
      <c r="Z1" s="53" t="s">
        <v>36</v>
      </c>
      <c r="AA1" s="53" t="s">
        <v>37</v>
      </c>
      <c r="AB1" s="53" t="s">
        <v>38</v>
      </c>
      <c r="AC1" s="53" t="s">
        <v>39</v>
      </c>
      <c r="AD1" s="53" t="s">
        <v>40</v>
      </c>
      <c r="AE1" s="53" t="s">
        <v>41</v>
      </c>
      <c r="AF1" s="53" t="s">
        <v>49</v>
      </c>
      <c r="AG1" s="53" t="s">
        <v>50</v>
      </c>
      <c r="AH1" s="53" t="s">
        <v>51</v>
      </c>
      <c r="AI1" s="53" t="s">
        <v>52</v>
      </c>
      <c r="AJ1" s="53" t="s">
        <v>14</v>
      </c>
      <c r="AK1" s="53" t="s">
        <v>15</v>
      </c>
      <c r="AL1" s="53" t="s">
        <v>16</v>
      </c>
      <c r="AM1" s="53" t="s">
        <v>53</v>
      </c>
      <c r="AN1" s="54" t="s">
        <v>54</v>
      </c>
      <c r="AO1" s="54" t="s">
        <v>55</v>
      </c>
    </row>
    <row r="2" spans="1:41" x14ac:dyDescent="0.25">
      <c r="A2" s="53"/>
      <c r="B2" s="53" t="s">
        <v>57</v>
      </c>
      <c r="C2" s="53" t="s">
        <v>58</v>
      </c>
      <c r="D2" s="53" t="s">
        <v>59</v>
      </c>
      <c r="E2" s="53"/>
      <c r="F2" s="53"/>
      <c r="G2" s="53">
        <v>65</v>
      </c>
      <c r="H2" s="53" t="s">
        <v>63</v>
      </c>
      <c r="I2" s="53" t="s">
        <v>64</v>
      </c>
      <c r="J2" s="53" t="s">
        <v>65</v>
      </c>
      <c r="K2" s="53">
        <v>1</v>
      </c>
      <c r="L2" s="53"/>
      <c r="M2" s="53" t="s">
        <v>17</v>
      </c>
      <c r="N2" s="53" t="s">
        <v>69</v>
      </c>
      <c r="O2" s="53"/>
      <c r="P2" s="53" t="s">
        <v>126</v>
      </c>
      <c r="Q2" s="53" t="s">
        <v>309</v>
      </c>
      <c r="R2" s="53" t="s">
        <v>126</v>
      </c>
      <c r="S2" s="53" t="s">
        <v>309</v>
      </c>
      <c r="T2" s="53" t="s">
        <v>310</v>
      </c>
      <c r="U2" s="53" t="s">
        <v>311</v>
      </c>
      <c r="V2" s="53"/>
      <c r="W2" s="53"/>
      <c r="X2" s="53"/>
      <c r="Y2" s="53"/>
      <c r="Z2" s="53"/>
      <c r="AA2" s="53"/>
      <c r="AB2" s="53"/>
      <c r="AC2" s="53" t="s">
        <v>312</v>
      </c>
      <c r="AD2" s="53" t="s">
        <v>313</v>
      </c>
      <c r="AE2" s="53" t="s">
        <v>45</v>
      </c>
      <c r="AF2" s="53" t="s">
        <v>83</v>
      </c>
      <c r="AG2" s="53" t="s">
        <v>45</v>
      </c>
      <c r="AH2" s="53" t="s">
        <v>84</v>
      </c>
      <c r="AI2" s="53"/>
      <c r="AJ2" s="53"/>
      <c r="AK2" s="55"/>
      <c r="AL2" s="56" t="s">
        <v>314</v>
      </c>
      <c r="AM2" s="53"/>
      <c r="AN2" s="57" t="s">
        <v>314</v>
      </c>
      <c r="AO2" s="57" t="s">
        <v>314</v>
      </c>
    </row>
    <row r="3" spans="1:41" x14ac:dyDescent="0.25">
      <c r="A3" s="53"/>
      <c r="B3" s="53" t="s">
        <v>102</v>
      </c>
      <c r="C3" s="53" t="s">
        <v>103</v>
      </c>
      <c r="D3" s="53" t="s">
        <v>315</v>
      </c>
      <c r="E3" s="53"/>
      <c r="F3" s="53"/>
      <c r="G3" s="53">
        <v>68</v>
      </c>
      <c r="H3" s="53" t="s">
        <v>19</v>
      </c>
      <c r="I3" s="53" t="s">
        <v>316</v>
      </c>
      <c r="J3" s="53" t="s">
        <v>317</v>
      </c>
      <c r="K3" s="53">
        <v>2</v>
      </c>
      <c r="L3" s="53"/>
      <c r="M3" s="53" t="s">
        <v>68</v>
      </c>
      <c r="N3" s="53" t="s">
        <v>267</v>
      </c>
      <c r="O3" s="53"/>
      <c r="P3" s="53" t="s">
        <v>318</v>
      </c>
      <c r="Q3" s="53" t="s">
        <v>72</v>
      </c>
      <c r="R3" s="53" t="s">
        <v>318</v>
      </c>
      <c r="S3" s="53" t="s">
        <v>72</v>
      </c>
      <c r="T3" s="53" t="s">
        <v>73</v>
      </c>
      <c r="U3" s="53" t="s">
        <v>110</v>
      </c>
      <c r="V3" s="53"/>
      <c r="W3" s="53"/>
      <c r="X3" s="53"/>
      <c r="Y3" s="53"/>
      <c r="Z3" s="53"/>
      <c r="AA3" s="53"/>
      <c r="AB3" s="53"/>
      <c r="AC3" s="53" t="s">
        <v>80</v>
      </c>
      <c r="AD3" s="53" t="s">
        <v>319</v>
      </c>
      <c r="AE3" s="53" t="s">
        <v>320</v>
      </c>
      <c r="AF3" s="53" t="s">
        <v>321</v>
      </c>
      <c r="AG3" s="53" t="s">
        <v>82</v>
      </c>
      <c r="AH3" s="53" t="s">
        <v>322</v>
      </c>
      <c r="AI3" s="53"/>
      <c r="AJ3" s="53"/>
      <c r="AK3" s="53"/>
      <c r="AL3" s="56" t="s">
        <v>323</v>
      </c>
      <c r="AM3" s="53"/>
      <c r="AN3" s="57" t="s">
        <v>323</v>
      </c>
      <c r="AO3" s="57" t="s">
        <v>323</v>
      </c>
    </row>
    <row r="4" spans="1:41" x14ac:dyDescent="0.25">
      <c r="A4" s="53"/>
      <c r="B4" s="53" t="s">
        <v>324</v>
      </c>
      <c r="C4" s="53"/>
      <c r="D4" s="53" t="s">
        <v>325</v>
      </c>
      <c r="E4" s="53"/>
      <c r="F4" s="53"/>
      <c r="G4" s="53">
        <v>69</v>
      </c>
      <c r="H4" s="53" t="s">
        <v>316</v>
      </c>
      <c r="I4" s="53"/>
      <c r="J4" s="53"/>
      <c r="K4" s="53">
        <v>3</v>
      </c>
      <c r="L4" s="53"/>
      <c r="M4" s="53" t="s">
        <v>326</v>
      </c>
      <c r="N4" s="53"/>
      <c r="O4" s="53"/>
      <c r="P4" s="53" t="s">
        <v>71</v>
      </c>
      <c r="Q4" s="53" t="s">
        <v>327</v>
      </c>
      <c r="R4" s="53" t="s">
        <v>71</v>
      </c>
      <c r="S4" s="53" t="s">
        <v>327</v>
      </c>
      <c r="T4" s="53" t="s">
        <v>328</v>
      </c>
      <c r="U4" s="53" t="s">
        <v>74</v>
      </c>
      <c r="V4" s="53"/>
      <c r="W4" s="53"/>
      <c r="X4" s="53"/>
      <c r="Y4" s="53"/>
      <c r="Z4" s="53"/>
      <c r="AA4" s="53"/>
      <c r="AB4" s="53"/>
      <c r="AC4" s="53" t="s">
        <v>329</v>
      </c>
      <c r="AD4" s="53" t="s">
        <v>330</v>
      </c>
      <c r="AE4" s="53" t="s">
        <v>18</v>
      </c>
      <c r="AF4" s="53" t="s">
        <v>331</v>
      </c>
      <c r="AG4" s="53" t="s">
        <v>18</v>
      </c>
      <c r="AH4" s="53" t="s">
        <v>18</v>
      </c>
      <c r="AI4" s="53"/>
      <c r="AJ4" s="53"/>
      <c r="AK4" s="53"/>
      <c r="AL4" s="56" t="s">
        <v>86</v>
      </c>
      <c r="AM4" s="53"/>
      <c r="AN4" s="57" t="s">
        <v>86</v>
      </c>
      <c r="AO4" s="57" t="s">
        <v>86</v>
      </c>
    </row>
    <row r="5" spans="1:41" x14ac:dyDescent="0.25">
      <c r="A5" s="53"/>
      <c r="B5" s="53" t="s">
        <v>332</v>
      </c>
      <c r="C5" s="53"/>
      <c r="D5" s="53" t="s">
        <v>333</v>
      </c>
      <c r="E5" s="53"/>
      <c r="F5" s="53"/>
      <c r="G5" s="53">
        <v>300</v>
      </c>
      <c r="H5" s="53" t="s">
        <v>334</v>
      </c>
      <c r="I5" s="53"/>
      <c r="J5" s="53"/>
      <c r="K5" s="53"/>
      <c r="L5" s="53"/>
      <c r="M5" s="53" t="s">
        <v>335</v>
      </c>
      <c r="N5" s="53"/>
      <c r="O5" s="53"/>
      <c r="P5" s="53"/>
      <c r="Q5" s="53" t="s">
        <v>336</v>
      </c>
      <c r="R5" s="53" t="s">
        <v>18</v>
      </c>
      <c r="S5" s="53" t="s">
        <v>336</v>
      </c>
      <c r="T5" s="53"/>
      <c r="U5" s="53" t="s">
        <v>337</v>
      </c>
      <c r="V5" s="53"/>
      <c r="W5" s="53"/>
      <c r="X5" s="53"/>
      <c r="Y5" s="53"/>
      <c r="Z5" s="53"/>
      <c r="AA5" s="53"/>
      <c r="AB5" s="53"/>
      <c r="AC5" s="53" t="s">
        <v>338</v>
      </c>
      <c r="AD5" s="53" t="s">
        <v>339</v>
      </c>
      <c r="AE5" s="53"/>
      <c r="AF5" s="53"/>
      <c r="AG5" s="53"/>
      <c r="AH5" s="53"/>
      <c r="AI5" s="53"/>
      <c r="AJ5" s="53"/>
      <c r="AK5" s="53"/>
      <c r="AL5" s="56" t="s">
        <v>340</v>
      </c>
      <c r="AM5" s="53"/>
      <c r="AN5" s="57" t="s">
        <v>340</v>
      </c>
      <c r="AO5" s="57" t="s">
        <v>340</v>
      </c>
    </row>
    <row r="6" spans="1:41" x14ac:dyDescent="0.25">
      <c r="A6" s="53"/>
      <c r="B6" s="53"/>
      <c r="C6" s="53"/>
      <c r="D6" s="53" t="s">
        <v>341</v>
      </c>
      <c r="E6" s="53"/>
      <c r="F6" s="53"/>
      <c r="G6" s="53">
        <v>319</v>
      </c>
      <c r="H6" s="53" t="s">
        <v>66</v>
      </c>
      <c r="I6" s="53"/>
      <c r="J6" s="53"/>
      <c r="K6" s="53"/>
      <c r="L6" s="53"/>
      <c r="M6" s="53"/>
      <c r="N6" s="53"/>
      <c r="O6" s="53"/>
      <c r="P6" s="53"/>
      <c r="Q6" s="53"/>
      <c r="R6" s="53"/>
      <c r="S6" s="53" t="s">
        <v>18</v>
      </c>
      <c r="T6" s="53"/>
      <c r="U6" s="53" t="s">
        <v>342</v>
      </c>
      <c r="V6" s="53"/>
      <c r="W6" s="53"/>
      <c r="X6" s="53"/>
      <c r="Y6" s="53"/>
      <c r="Z6" s="53"/>
      <c r="AA6" s="53"/>
      <c r="AB6" s="53"/>
      <c r="AC6" s="53"/>
      <c r="AD6" s="53" t="s">
        <v>343</v>
      </c>
      <c r="AE6" s="53"/>
      <c r="AF6" s="53"/>
      <c r="AG6" s="53"/>
      <c r="AH6" s="53"/>
      <c r="AI6" s="53"/>
      <c r="AJ6" s="53"/>
      <c r="AK6" s="53"/>
      <c r="AL6" s="56" t="s">
        <v>344</v>
      </c>
      <c r="AM6" s="53"/>
      <c r="AN6" s="57" t="s">
        <v>344</v>
      </c>
      <c r="AO6" s="57" t="s">
        <v>344</v>
      </c>
    </row>
    <row r="7" spans="1:41" x14ac:dyDescent="0.25">
      <c r="A7" s="53"/>
      <c r="B7" s="53"/>
      <c r="C7" s="53"/>
      <c r="D7" s="53" t="s">
        <v>345</v>
      </c>
      <c r="E7" s="53"/>
      <c r="F7" s="53"/>
      <c r="G7" s="53">
        <v>320</v>
      </c>
      <c r="H7" s="53" t="s">
        <v>346</v>
      </c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 t="s">
        <v>81</v>
      </c>
      <c r="AE7" s="53"/>
      <c r="AF7" s="53"/>
      <c r="AG7" s="53"/>
      <c r="AH7" s="53"/>
      <c r="AI7" s="53"/>
      <c r="AJ7" s="53"/>
      <c r="AK7" s="53"/>
      <c r="AL7" s="56" t="s">
        <v>347</v>
      </c>
      <c r="AM7" s="53"/>
      <c r="AN7" s="57" t="s">
        <v>347</v>
      </c>
      <c r="AO7" s="57" t="s">
        <v>347</v>
      </c>
    </row>
    <row r="8" spans="1:41" x14ac:dyDescent="0.25">
      <c r="A8" s="53"/>
      <c r="B8" s="53"/>
      <c r="C8" s="53"/>
      <c r="D8" s="53" t="s">
        <v>348</v>
      </c>
      <c r="E8" s="53"/>
      <c r="F8" s="53"/>
      <c r="G8" s="53">
        <v>321</v>
      </c>
      <c r="H8" s="53" t="s">
        <v>349</v>
      </c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 t="s">
        <v>137</v>
      </c>
      <c r="AE8" s="53"/>
      <c r="AF8" s="53"/>
      <c r="AG8" s="53"/>
      <c r="AH8" s="53"/>
      <c r="AI8" s="53"/>
      <c r="AJ8" s="53"/>
      <c r="AK8" s="53"/>
      <c r="AL8" s="56" t="s">
        <v>350</v>
      </c>
      <c r="AM8" s="53"/>
      <c r="AN8" s="57" t="s">
        <v>350</v>
      </c>
      <c r="AO8" s="57" t="s">
        <v>350</v>
      </c>
    </row>
    <row r="9" spans="1:41" x14ac:dyDescent="0.25">
      <c r="A9" s="53"/>
      <c r="B9" s="53"/>
      <c r="C9" s="53"/>
      <c r="D9" s="53"/>
      <c r="E9" s="53"/>
      <c r="F9" s="53"/>
      <c r="G9" s="53">
        <v>374</v>
      </c>
      <c r="H9" s="53" t="s">
        <v>351</v>
      </c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 t="s">
        <v>352</v>
      </c>
      <c r="AE9" s="53"/>
      <c r="AF9" s="53"/>
      <c r="AG9" s="53"/>
      <c r="AH9" s="53"/>
      <c r="AI9" s="53"/>
      <c r="AJ9" s="53"/>
      <c r="AK9" s="53"/>
      <c r="AL9" s="56" t="s">
        <v>353</v>
      </c>
      <c r="AM9" s="53"/>
      <c r="AN9" s="57" t="s">
        <v>354</v>
      </c>
      <c r="AO9" s="57" t="s">
        <v>354</v>
      </c>
    </row>
    <row r="10" spans="1:41" x14ac:dyDescent="0.25">
      <c r="A10" s="53"/>
      <c r="B10" s="53"/>
      <c r="C10" s="53"/>
      <c r="D10" s="53"/>
      <c r="E10" s="53"/>
      <c r="F10" s="53"/>
      <c r="G10" s="53">
        <v>389</v>
      </c>
      <c r="H10" s="53" t="s">
        <v>355</v>
      </c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1"/>
      <c r="AM10" s="53"/>
      <c r="AN10" s="1"/>
      <c r="AO10" s="1"/>
    </row>
    <row r="11" spans="1:41" x14ac:dyDescent="0.25">
      <c r="A11" s="53"/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7"/>
      <c r="AO11" s="57"/>
    </row>
    <row r="12" spans="1:41" x14ac:dyDescent="0.25">
      <c r="A12" s="53"/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7"/>
      <c r="AO12" s="57"/>
    </row>
    <row r="13" spans="1:41" x14ac:dyDescent="0.25">
      <c r="A13" s="53"/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7"/>
      <c r="AO13" s="57"/>
    </row>
    <row r="14" spans="1:41" x14ac:dyDescent="0.25">
      <c r="A14" s="53"/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7"/>
      <c r="AO14" s="57"/>
    </row>
    <row r="15" spans="1:41" x14ac:dyDescent="0.25">
      <c r="A15" s="53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7"/>
      <c r="AO15" s="57"/>
    </row>
    <row r="16" spans="1:41" x14ac:dyDescent="0.25">
      <c r="A16" s="53"/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7"/>
      <c r="AO16" s="57"/>
    </row>
    <row r="17" spans="1:41" x14ac:dyDescent="0.25">
      <c r="A17" s="53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7"/>
      <c r="AO17" s="57"/>
    </row>
    <row r="18" spans="1:41" x14ac:dyDescent="0.25">
      <c r="A18" s="53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7"/>
      <c r="AO18" s="57"/>
    </row>
    <row r="19" spans="1:41" x14ac:dyDescent="0.25">
      <c r="A19" s="53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7"/>
      <c r="AO19" s="57"/>
    </row>
    <row r="20" spans="1:41" ht="15.75" customHeight="1" x14ac:dyDescent="0.25">
      <c r="A20" s="53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7"/>
      <c r="AO20" s="57"/>
    </row>
    <row r="21" spans="1:41" ht="15.75" customHeight="1" x14ac:dyDescent="0.25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7"/>
      <c r="AO21" s="57"/>
    </row>
    <row r="22" spans="1:41" ht="15.75" customHeight="1" x14ac:dyDescent="0.25">
      <c r="A22" s="53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7"/>
      <c r="AO22" s="57"/>
    </row>
    <row r="23" spans="1:41" ht="15.75" customHeight="1" x14ac:dyDescent="0.25">
      <c r="A23" s="53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7"/>
      <c r="AO23" s="57"/>
    </row>
    <row r="24" spans="1:41" ht="15.75" customHeight="1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7"/>
      <c r="AO24" s="57"/>
    </row>
    <row r="25" spans="1:41" ht="15.75" customHeight="1" x14ac:dyDescent="0.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7"/>
      <c r="AO25" s="57"/>
    </row>
    <row r="26" spans="1:41" ht="15.75" customHeight="1" x14ac:dyDescent="0.25">
      <c r="A26" s="53"/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7"/>
      <c r="AO26" s="57"/>
    </row>
    <row r="27" spans="1:41" ht="15.75" customHeight="1" x14ac:dyDescent="0.25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7"/>
      <c r="AO27" s="57"/>
    </row>
    <row r="28" spans="1:41" ht="15.75" customHeight="1" x14ac:dyDescent="0.25">
      <c r="A28" s="53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7"/>
      <c r="AO28" s="57"/>
    </row>
    <row r="29" spans="1:41" ht="15.75" customHeight="1" x14ac:dyDescent="0.25">
      <c r="A29" s="53"/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7"/>
      <c r="AO29" s="57"/>
    </row>
    <row r="30" spans="1:41" ht="15.75" customHeight="1" x14ac:dyDescent="0.25">
      <c r="A30" s="53"/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7"/>
      <c r="AO30" s="57"/>
    </row>
    <row r="31" spans="1:41" ht="15.75" customHeight="1" x14ac:dyDescent="0.25">
      <c r="A31" s="53"/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7"/>
      <c r="AO31" s="57"/>
    </row>
    <row r="32" spans="1:41" ht="15.75" customHeight="1" x14ac:dyDescent="0.25">
      <c r="A32" s="53"/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7"/>
      <c r="AO32" s="57"/>
    </row>
    <row r="33" spans="1:41" ht="15.75" customHeight="1" x14ac:dyDescent="0.25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7"/>
      <c r="AO33" s="57"/>
    </row>
    <row r="34" spans="1:41" ht="15.75" customHeight="1" x14ac:dyDescent="0.25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7"/>
      <c r="AO34" s="57"/>
    </row>
    <row r="35" spans="1:41" ht="15.75" customHeight="1" x14ac:dyDescent="0.2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7"/>
      <c r="AO35" s="57"/>
    </row>
    <row r="36" spans="1:41" ht="15.75" customHeight="1" x14ac:dyDescent="0.25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7"/>
      <c r="AO36" s="57"/>
    </row>
    <row r="37" spans="1:41" ht="15.75" customHeight="1" x14ac:dyDescent="0.25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7"/>
      <c r="AO37" s="57"/>
    </row>
    <row r="38" spans="1:41" ht="15.75" customHeight="1" x14ac:dyDescent="0.25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7"/>
      <c r="AO38" s="57"/>
    </row>
    <row r="39" spans="1:41" ht="15.75" customHeight="1" x14ac:dyDescent="0.25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7"/>
      <c r="AO39" s="57"/>
    </row>
    <row r="40" spans="1:41" ht="15.75" customHeight="1" x14ac:dyDescent="0.25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7"/>
      <c r="AO40" s="57"/>
    </row>
    <row r="41" spans="1:41" ht="15.75" customHeight="1" x14ac:dyDescent="0.25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7"/>
      <c r="AO41" s="57"/>
    </row>
    <row r="42" spans="1:41" ht="15.75" customHeight="1" x14ac:dyDescent="0.25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7"/>
      <c r="AO42" s="57"/>
    </row>
    <row r="43" spans="1:41" ht="15.75" customHeight="1" x14ac:dyDescent="0.25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7"/>
      <c r="AO43" s="57"/>
    </row>
    <row r="44" spans="1:41" ht="15.75" customHeight="1" x14ac:dyDescent="0.25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7"/>
      <c r="AO44" s="57"/>
    </row>
    <row r="45" spans="1:41" ht="15.75" customHeight="1" x14ac:dyDescent="0.25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7"/>
      <c r="AO45" s="57"/>
    </row>
    <row r="46" spans="1:41" ht="15.75" customHeight="1" x14ac:dyDescent="0.25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7"/>
      <c r="AO46" s="57"/>
    </row>
    <row r="47" spans="1:41" ht="15.75" customHeight="1" x14ac:dyDescent="0.25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7"/>
      <c r="AO47" s="57"/>
    </row>
    <row r="48" spans="1:41" ht="15.75" customHeight="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7"/>
      <c r="AO48" s="57"/>
    </row>
    <row r="49" spans="1:41" ht="15.75" customHeight="1" x14ac:dyDescent="0.25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7"/>
      <c r="AO49" s="57"/>
    </row>
    <row r="50" spans="1:41" ht="15.75" customHeight="1" x14ac:dyDescent="0.25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7"/>
      <c r="AO50" s="57"/>
    </row>
    <row r="51" spans="1:41" ht="15.75" customHeight="1" x14ac:dyDescent="0.25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7"/>
      <c r="AO51" s="57"/>
    </row>
    <row r="52" spans="1:41" ht="15.75" customHeight="1" x14ac:dyDescent="0.25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7"/>
      <c r="AO52" s="57"/>
    </row>
    <row r="53" spans="1:41" ht="15.75" customHeight="1" x14ac:dyDescent="0.25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7"/>
      <c r="AO53" s="57"/>
    </row>
    <row r="54" spans="1:41" ht="15.75" customHeight="1" x14ac:dyDescent="0.25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7"/>
      <c r="AO54" s="57"/>
    </row>
    <row r="55" spans="1:41" ht="15.75" customHeight="1" x14ac:dyDescent="0.2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7"/>
      <c r="AO55" s="57"/>
    </row>
    <row r="56" spans="1:41" ht="15.75" customHeight="1" x14ac:dyDescent="0.25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7"/>
      <c r="AO56" s="57"/>
    </row>
    <row r="57" spans="1:41" ht="15.75" customHeight="1" x14ac:dyDescent="0.25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7"/>
      <c r="AO57" s="57"/>
    </row>
    <row r="58" spans="1:41" ht="15.75" customHeight="1" x14ac:dyDescent="0.25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7"/>
      <c r="AO58" s="57"/>
    </row>
    <row r="59" spans="1:41" ht="15.75" customHeight="1" x14ac:dyDescent="0.25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7"/>
      <c r="AO59" s="57"/>
    </row>
    <row r="60" spans="1:41" ht="15.75" customHeight="1" x14ac:dyDescent="0.25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7"/>
      <c r="AO60" s="57"/>
    </row>
    <row r="61" spans="1:41" ht="15.75" customHeight="1" x14ac:dyDescent="0.25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7"/>
      <c r="AO61" s="57"/>
    </row>
    <row r="62" spans="1:41" ht="15.75" customHeight="1" x14ac:dyDescent="0.25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7"/>
      <c r="AO62" s="57"/>
    </row>
    <row r="63" spans="1:41" ht="15.75" customHeight="1" x14ac:dyDescent="0.25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57"/>
      <c r="AO63" s="57"/>
    </row>
    <row r="64" spans="1:41" ht="15.75" customHeight="1" x14ac:dyDescent="0.25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57"/>
      <c r="AO64" s="57"/>
    </row>
    <row r="65" spans="1:41" ht="15.75" customHeight="1" x14ac:dyDescent="0.2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7"/>
      <c r="AO65" s="57"/>
    </row>
    <row r="66" spans="1:41" ht="15.75" customHeight="1" x14ac:dyDescent="0.25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7"/>
      <c r="AO66" s="57"/>
    </row>
    <row r="67" spans="1:41" ht="15.75" customHeight="1" x14ac:dyDescent="0.25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7"/>
      <c r="AO67" s="57"/>
    </row>
    <row r="68" spans="1:41" ht="15.75" customHeight="1" x14ac:dyDescent="0.25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7"/>
      <c r="AO68" s="57"/>
    </row>
    <row r="69" spans="1:41" ht="15.75" customHeight="1" x14ac:dyDescent="0.25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7"/>
      <c r="AO69" s="57"/>
    </row>
    <row r="70" spans="1:41" ht="15.75" customHeight="1" x14ac:dyDescent="0.25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57"/>
      <c r="AO70" s="57"/>
    </row>
    <row r="71" spans="1:41" ht="15.75" customHeight="1" x14ac:dyDescent="0.25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57"/>
      <c r="AO71" s="57"/>
    </row>
    <row r="72" spans="1:41" ht="15.75" customHeight="1" x14ac:dyDescent="0.25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57"/>
      <c r="AO72" s="57"/>
    </row>
    <row r="73" spans="1:41" ht="15.75" customHeight="1" x14ac:dyDescent="0.25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7"/>
      <c r="AO73" s="57"/>
    </row>
    <row r="74" spans="1:41" ht="15.75" customHeight="1" x14ac:dyDescent="0.25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57"/>
      <c r="AO74" s="57"/>
    </row>
    <row r="75" spans="1:41" ht="15.75" customHeight="1" x14ac:dyDescent="0.25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57"/>
      <c r="AO75" s="57"/>
    </row>
    <row r="76" spans="1:41" ht="15.75" customHeight="1" x14ac:dyDescent="0.25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57"/>
      <c r="AO76" s="57"/>
    </row>
    <row r="77" spans="1:41" ht="15.75" customHeight="1" x14ac:dyDescent="0.25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57"/>
      <c r="AO77" s="57"/>
    </row>
    <row r="78" spans="1:41" ht="15.75" customHeight="1" x14ac:dyDescent="0.25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57"/>
      <c r="AO78" s="57"/>
    </row>
    <row r="79" spans="1:41" ht="15.75" customHeight="1" x14ac:dyDescent="0.25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7"/>
      <c r="AO79" s="57"/>
    </row>
    <row r="80" spans="1:41" ht="15.75" customHeight="1" x14ac:dyDescent="0.25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7"/>
      <c r="AO80" s="57"/>
    </row>
    <row r="81" spans="1:41" ht="15.75" customHeight="1" x14ac:dyDescent="0.25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53"/>
      <c r="AK81" s="53"/>
      <c r="AL81" s="53"/>
      <c r="AM81" s="53"/>
      <c r="AN81" s="57"/>
      <c r="AO81" s="57"/>
    </row>
    <row r="82" spans="1:41" ht="15.75" customHeight="1" x14ac:dyDescent="0.25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57"/>
      <c r="AO82" s="57"/>
    </row>
    <row r="83" spans="1:41" ht="15.75" customHeight="1" x14ac:dyDescent="0.25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  <c r="AL83" s="53"/>
      <c r="AM83" s="53"/>
      <c r="AN83" s="57"/>
      <c r="AO83" s="57"/>
    </row>
    <row r="84" spans="1:41" ht="15.75" customHeight="1" x14ac:dyDescent="0.25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53"/>
      <c r="AI84" s="53"/>
      <c r="AJ84" s="53"/>
      <c r="AK84" s="53"/>
      <c r="AL84" s="53"/>
      <c r="AM84" s="53"/>
      <c r="AN84" s="57"/>
      <c r="AO84" s="57"/>
    </row>
    <row r="85" spans="1:41" ht="15.75" customHeight="1" x14ac:dyDescent="0.2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  <c r="AK85" s="53"/>
      <c r="AL85" s="53"/>
      <c r="AM85" s="53"/>
      <c r="AN85" s="57"/>
      <c r="AO85" s="57"/>
    </row>
    <row r="86" spans="1:41" ht="15.75" customHeight="1" x14ac:dyDescent="0.25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7"/>
      <c r="AO86" s="57"/>
    </row>
    <row r="87" spans="1:41" ht="15.75" customHeight="1" x14ac:dyDescent="0.25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7"/>
      <c r="AO87" s="57"/>
    </row>
    <row r="88" spans="1:41" ht="15.75" customHeight="1" x14ac:dyDescent="0.25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57"/>
      <c r="AO88" s="57"/>
    </row>
    <row r="89" spans="1:41" ht="15.75" customHeight="1" x14ac:dyDescent="0.25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57"/>
      <c r="AO89" s="57"/>
    </row>
    <row r="90" spans="1:41" ht="15.75" customHeight="1" x14ac:dyDescent="0.25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57"/>
      <c r="AO90" s="57"/>
    </row>
    <row r="91" spans="1:41" ht="15.75" customHeight="1" x14ac:dyDescent="0.25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57"/>
      <c r="AO91" s="57"/>
    </row>
    <row r="92" spans="1:41" ht="15.75" customHeight="1" x14ac:dyDescent="0.25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57"/>
      <c r="AO92" s="57"/>
    </row>
    <row r="93" spans="1:41" ht="15.75" customHeight="1" x14ac:dyDescent="0.25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57"/>
      <c r="AO93" s="57"/>
    </row>
    <row r="94" spans="1:41" ht="15.75" customHeight="1" x14ac:dyDescent="0.25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53"/>
      <c r="AI94" s="53"/>
      <c r="AJ94" s="53"/>
      <c r="AK94" s="53"/>
      <c r="AL94" s="53"/>
      <c r="AM94" s="53"/>
      <c r="AN94" s="57"/>
      <c r="AO94" s="57"/>
    </row>
    <row r="95" spans="1:41" ht="15.75" customHeight="1" x14ac:dyDescent="0.2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53"/>
      <c r="AK95" s="53"/>
      <c r="AL95" s="53"/>
      <c r="AM95" s="53"/>
      <c r="AN95" s="57"/>
      <c r="AO95" s="57"/>
    </row>
    <row r="96" spans="1:41" ht="15.75" customHeight="1" x14ac:dyDescent="0.25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57"/>
      <c r="AO96" s="57"/>
    </row>
    <row r="97" spans="1:41" ht="15.75" customHeight="1" x14ac:dyDescent="0.25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57"/>
      <c r="AO97" s="57"/>
    </row>
    <row r="98" spans="1:41" ht="15.75" customHeight="1" x14ac:dyDescent="0.25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57"/>
      <c r="AO98" s="57"/>
    </row>
    <row r="99" spans="1:41" ht="15.75" customHeight="1" x14ac:dyDescent="0.25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57"/>
      <c r="AO99" s="57"/>
    </row>
    <row r="100" spans="1:41" ht="15.75" customHeight="1" x14ac:dyDescent="0.25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57"/>
      <c r="AO100" s="57"/>
    </row>
    <row r="101" spans="1:41" ht="15.75" customHeight="1" x14ac:dyDescent="0.25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57"/>
      <c r="AO101" s="57"/>
    </row>
    <row r="102" spans="1:41" ht="15.75" customHeight="1" x14ac:dyDescent="0.25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57"/>
      <c r="AO102" s="57"/>
    </row>
    <row r="103" spans="1:41" ht="15.75" customHeight="1" x14ac:dyDescent="0.25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7"/>
      <c r="AO103" s="57"/>
    </row>
    <row r="104" spans="1:41" ht="15.75" customHeight="1" x14ac:dyDescent="0.25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57"/>
      <c r="AO104" s="57"/>
    </row>
    <row r="105" spans="1:41" ht="15.75" customHeight="1" x14ac:dyDescent="0.2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57"/>
      <c r="AO105" s="57"/>
    </row>
    <row r="106" spans="1:41" ht="15.75" customHeight="1" x14ac:dyDescent="0.25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57"/>
      <c r="AO106" s="57"/>
    </row>
    <row r="107" spans="1:41" ht="15.75" customHeight="1" x14ac:dyDescent="0.25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57"/>
      <c r="AO107" s="57"/>
    </row>
    <row r="108" spans="1:41" ht="15.75" customHeight="1" x14ac:dyDescent="0.25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  <c r="AL108" s="53"/>
      <c r="AM108" s="53"/>
      <c r="AN108" s="57"/>
      <c r="AO108" s="57"/>
    </row>
    <row r="109" spans="1:41" ht="15.75" customHeight="1" x14ac:dyDescent="0.25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57"/>
      <c r="AO109" s="57"/>
    </row>
    <row r="110" spans="1:41" ht="15.75" customHeight="1" x14ac:dyDescent="0.25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57"/>
      <c r="AO110" s="57"/>
    </row>
    <row r="111" spans="1:41" ht="15.75" customHeight="1" x14ac:dyDescent="0.25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57"/>
      <c r="AO111" s="57"/>
    </row>
    <row r="112" spans="1:41" ht="15.75" customHeight="1" x14ac:dyDescent="0.25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57"/>
      <c r="AO112" s="57"/>
    </row>
    <row r="113" spans="1:41" ht="15.75" customHeight="1" x14ac:dyDescent="0.25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57"/>
      <c r="AO113" s="57"/>
    </row>
    <row r="114" spans="1:41" ht="15.75" customHeight="1" x14ac:dyDescent="0.25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  <c r="AL114" s="53"/>
      <c r="AM114" s="53"/>
      <c r="AN114" s="57"/>
      <c r="AO114" s="57"/>
    </row>
    <row r="115" spans="1:41" ht="15.75" customHeight="1" x14ac:dyDescent="0.2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57"/>
      <c r="AO115" s="57"/>
    </row>
    <row r="116" spans="1:41" ht="15.75" customHeight="1" x14ac:dyDescent="0.25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57"/>
      <c r="AO116" s="57"/>
    </row>
    <row r="117" spans="1:41" ht="15.75" customHeight="1" x14ac:dyDescent="0.25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57"/>
      <c r="AO117" s="57"/>
    </row>
    <row r="118" spans="1:41" ht="15.75" customHeight="1" x14ac:dyDescent="0.25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57"/>
      <c r="AO118" s="57"/>
    </row>
    <row r="119" spans="1:41" ht="15.75" customHeight="1" x14ac:dyDescent="0.25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57"/>
      <c r="AO119" s="57"/>
    </row>
    <row r="120" spans="1:41" ht="15.75" customHeight="1" x14ac:dyDescent="0.25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57"/>
      <c r="AO120" s="57"/>
    </row>
    <row r="121" spans="1:41" ht="15.75" customHeight="1" x14ac:dyDescent="0.25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57"/>
      <c r="AO121" s="57"/>
    </row>
    <row r="122" spans="1:41" ht="15.75" customHeight="1" x14ac:dyDescent="0.25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57"/>
      <c r="AO122" s="57"/>
    </row>
    <row r="123" spans="1:41" ht="15.75" customHeight="1" x14ac:dyDescent="0.25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57"/>
      <c r="AO123" s="57"/>
    </row>
    <row r="124" spans="1:41" ht="15.75" customHeight="1" x14ac:dyDescent="0.25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  <c r="AL124" s="53"/>
      <c r="AM124" s="53"/>
      <c r="AN124" s="57"/>
      <c r="AO124" s="57"/>
    </row>
    <row r="125" spans="1:41" ht="15.75" customHeight="1" x14ac:dyDescent="0.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  <c r="AL125" s="53"/>
      <c r="AM125" s="53"/>
      <c r="AN125" s="57"/>
      <c r="AO125" s="57"/>
    </row>
    <row r="126" spans="1:41" ht="15.75" customHeight="1" x14ac:dyDescent="0.25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57"/>
      <c r="AO126" s="57"/>
    </row>
    <row r="127" spans="1:41" ht="15.75" customHeight="1" x14ac:dyDescent="0.25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  <c r="AL127" s="53"/>
      <c r="AM127" s="53"/>
      <c r="AN127" s="57"/>
      <c r="AO127" s="57"/>
    </row>
    <row r="128" spans="1:41" ht="15.75" customHeight="1" x14ac:dyDescent="0.25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  <c r="AL128" s="53"/>
      <c r="AM128" s="53"/>
      <c r="AN128" s="57"/>
      <c r="AO128" s="57"/>
    </row>
    <row r="129" spans="1:41" ht="15.75" customHeight="1" x14ac:dyDescent="0.25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57"/>
      <c r="AO129" s="57"/>
    </row>
    <row r="130" spans="1:41" ht="15.75" customHeight="1" x14ac:dyDescent="0.25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57"/>
      <c r="AO130" s="57"/>
    </row>
    <row r="131" spans="1:41" ht="15.75" customHeight="1" x14ac:dyDescent="0.25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7"/>
      <c r="AO131" s="57"/>
    </row>
    <row r="132" spans="1:41" ht="15.75" customHeight="1" x14ac:dyDescent="0.25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7"/>
      <c r="AO132" s="57"/>
    </row>
    <row r="133" spans="1:41" ht="15.75" customHeight="1" x14ac:dyDescent="0.25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57"/>
      <c r="AO133" s="57"/>
    </row>
    <row r="134" spans="1:41" ht="15.75" customHeight="1" x14ac:dyDescent="0.25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57"/>
      <c r="AO134" s="57"/>
    </row>
    <row r="135" spans="1:41" ht="15.75" customHeight="1" x14ac:dyDescent="0.2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7"/>
      <c r="AO135" s="57"/>
    </row>
    <row r="136" spans="1:41" ht="15.75" customHeight="1" x14ac:dyDescent="0.25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7"/>
      <c r="AO136" s="57"/>
    </row>
    <row r="137" spans="1:41" ht="15.75" customHeight="1" x14ac:dyDescent="0.25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7"/>
      <c r="AO137" s="57"/>
    </row>
    <row r="138" spans="1:41" ht="15.75" customHeight="1" x14ac:dyDescent="0.25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7"/>
      <c r="AO138" s="57"/>
    </row>
    <row r="139" spans="1:41" ht="15.75" customHeight="1" x14ac:dyDescent="0.25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7"/>
      <c r="AO139" s="57"/>
    </row>
    <row r="140" spans="1:41" ht="15.75" customHeight="1" x14ac:dyDescent="0.25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7"/>
      <c r="AO140" s="57"/>
    </row>
    <row r="141" spans="1:41" ht="15.75" customHeight="1" x14ac:dyDescent="0.25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7"/>
      <c r="AO141" s="57"/>
    </row>
    <row r="142" spans="1:41" ht="15.75" customHeight="1" x14ac:dyDescent="0.25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7"/>
      <c r="AO142" s="57"/>
    </row>
    <row r="143" spans="1:41" ht="15.75" customHeight="1" x14ac:dyDescent="0.25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7"/>
      <c r="AO143" s="57"/>
    </row>
    <row r="144" spans="1:41" ht="15.75" customHeight="1" x14ac:dyDescent="0.25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7"/>
      <c r="AO144" s="57"/>
    </row>
    <row r="145" spans="1:41" ht="15.75" customHeight="1" x14ac:dyDescent="0.2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7"/>
      <c r="AO145" s="57"/>
    </row>
    <row r="146" spans="1:41" ht="15.75" customHeight="1" x14ac:dyDescent="0.25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7"/>
      <c r="AO146" s="57"/>
    </row>
    <row r="147" spans="1:41" ht="15.75" customHeight="1" x14ac:dyDescent="0.25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7"/>
      <c r="AO147" s="57"/>
    </row>
    <row r="148" spans="1:41" ht="15.75" customHeight="1" x14ac:dyDescent="0.25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7"/>
      <c r="AO148" s="57"/>
    </row>
    <row r="149" spans="1:41" ht="15.75" customHeight="1" x14ac:dyDescent="0.25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7"/>
      <c r="AO149" s="57"/>
    </row>
    <row r="150" spans="1:41" ht="15.75" customHeight="1" x14ac:dyDescent="0.25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7"/>
      <c r="AO150" s="57"/>
    </row>
    <row r="151" spans="1:41" ht="15.75" customHeight="1" x14ac:dyDescent="0.25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7"/>
      <c r="AO151" s="57"/>
    </row>
    <row r="152" spans="1:41" ht="15.75" customHeight="1" x14ac:dyDescent="0.25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7"/>
      <c r="AO152" s="57"/>
    </row>
    <row r="153" spans="1:41" ht="15.75" customHeight="1" x14ac:dyDescent="0.25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7"/>
      <c r="AO153" s="57"/>
    </row>
    <row r="154" spans="1:41" ht="15.75" customHeight="1" x14ac:dyDescent="0.25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7"/>
      <c r="AO154" s="57"/>
    </row>
    <row r="155" spans="1:41" ht="15.75" customHeight="1" x14ac:dyDescent="0.2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7"/>
      <c r="AO155" s="57"/>
    </row>
    <row r="156" spans="1:41" ht="15.75" customHeight="1" x14ac:dyDescent="0.25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7"/>
      <c r="AO156" s="57"/>
    </row>
    <row r="157" spans="1:41" ht="15.75" customHeight="1" x14ac:dyDescent="0.25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7"/>
      <c r="AO157" s="57"/>
    </row>
    <row r="158" spans="1:41" ht="15.75" customHeight="1" x14ac:dyDescent="0.25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7"/>
      <c r="AO158" s="57"/>
    </row>
    <row r="159" spans="1:41" ht="15.75" customHeight="1" x14ac:dyDescent="0.25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7"/>
      <c r="AO159" s="57"/>
    </row>
    <row r="160" spans="1:41" ht="15.75" customHeight="1" x14ac:dyDescent="0.25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7"/>
      <c r="AO160" s="57"/>
    </row>
    <row r="161" spans="1:41" ht="15.75" customHeight="1" x14ac:dyDescent="0.25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7"/>
      <c r="AO161" s="57"/>
    </row>
    <row r="162" spans="1:41" ht="15.75" customHeight="1" x14ac:dyDescent="0.25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7"/>
      <c r="AO162" s="57"/>
    </row>
    <row r="163" spans="1:41" ht="15.75" customHeight="1" x14ac:dyDescent="0.25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7"/>
      <c r="AO163" s="57"/>
    </row>
    <row r="164" spans="1:41" ht="15.75" customHeight="1" x14ac:dyDescent="0.25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7"/>
      <c r="AO164" s="57"/>
    </row>
    <row r="165" spans="1:41" ht="15.75" customHeight="1" x14ac:dyDescent="0.2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7"/>
      <c r="AO165" s="57"/>
    </row>
    <row r="166" spans="1:41" ht="15.75" customHeight="1" x14ac:dyDescent="0.25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7"/>
      <c r="AO166" s="57"/>
    </row>
    <row r="167" spans="1:41" ht="15.75" customHeight="1" x14ac:dyDescent="0.25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7"/>
      <c r="AO167" s="57"/>
    </row>
    <row r="168" spans="1:41" ht="15.75" customHeight="1" x14ac:dyDescent="0.25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7"/>
      <c r="AO168" s="57"/>
    </row>
    <row r="169" spans="1:41" ht="15.75" customHeight="1" x14ac:dyDescent="0.25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7"/>
      <c r="AO169" s="57"/>
    </row>
    <row r="170" spans="1:41" ht="15.75" customHeight="1" x14ac:dyDescent="0.25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7"/>
      <c r="AO170" s="57"/>
    </row>
    <row r="171" spans="1:41" ht="15.75" customHeight="1" x14ac:dyDescent="0.25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7"/>
      <c r="AO171" s="57"/>
    </row>
    <row r="172" spans="1:41" ht="15.75" customHeight="1" x14ac:dyDescent="0.25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7"/>
      <c r="AO172" s="57"/>
    </row>
    <row r="173" spans="1:41" ht="15.75" customHeight="1" x14ac:dyDescent="0.25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7"/>
      <c r="AO173" s="57"/>
    </row>
    <row r="174" spans="1:41" ht="15.75" customHeight="1" x14ac:dyDescent="0.25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7"/>
      <c r="AO174" s="57"/>
    </row>
    <row r="175" spans="1:41" ht="15.75" customHeight="1" x14ac:dyDescent="0.2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7"/>
      <c r="AO175" s="57"/>
    </row>
    <row r="176" spans="1:41" ht="15.75" customHeight="1" x14ac:dyDescent="0.25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7"/>
      <c r="AO176" s="57"/>
    </row>
    <row r="177" spans="1:41" ht="15.75" customHeight="1" x14ac:dyDescent="0.25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7"/>
      <c r="AO177" s="57"/>
    </row>
    <row r="178" spans="1:41" ht="15.75" customHeight="1" x14ac:dyDescent="0.25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7"/>
      <c r="AO178" s="57"/>
    </row>
    <row r="179" spans="1:41" ht="15.75" customHeight="1" x14ac:dyDescent="0.25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7"/>
      <c r="AO179" s="57"/>
    </row>
    <row r="180" spans="1:41" ht="15.75" customHeight="1" x14ac:dyDescent="0.25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7"/>
      <c r="AO180" s="57"/>
    </row>
    <row r="181" spans="1:41" ht="15.75" customHeight="1" x14ac:dyDescent="0.25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7"/>
      <c r="AO181" s="57"/>
    </row>
    <row r="182" spans="1:41" ht="15.75" customHeight="1" x14ac:dyDescent="0.25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7"/>
      <c r="AO182" s="57"/>
    </row>
    <row r="183" spans="1:41" ht="15.75" customHeight="1" x14ac:dyDescent="0.25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7"/>
      <c r="AO183" s="57"/>
    </row>
    <row r="184" spans="1:41" ht="15.75" customHeight="1" x14ac:dyDescent="0.25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7"/>
      <c r="AO184" s="57"/>
    </row>
    <row r="185" spans="1:41" ht="15.75" customHeight="1" x14ac:dyDescent="0.2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7"/>
      <c r="AO185" s="57"/>
    </row>
    <row r="186" spans="1:41" ht="15.75" customHeight="1" x14ac:dyDescent="0.25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7"/>
      <c r="AO186" s="57"/>
    </row>
    <row r="187" spans="1:41" ht="15.75" customHeight="1" x14ac:dyDescent="0.25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7"/>
      <c r="AO187" s="57"/>
    </row>
    <row r="188" spans="1:41" ht="15.75" customHeight="1" x14ac:dyDescent="0.25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7"/>
      <c r="AO188" s="57"/>
    </row>
    <row r="189" spans="1:41" ht="15.75" customHeight="1" x14ac:dyDescent="0.25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7"/>
      <c r="AO189" s="57"/>
    </row>
    <row r="190" spans="1:41" ht="15.75" customHeight="1" x14ac:dyDescent="0.25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7"/>
      <c r="AO190" s="57"/>
    </row>
    <row r="191" spans="1:41" ht="15.75" customHeight="1" x14ac:dyDescent="0.25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7"/>
      <c r="AO191" s="57"/>
    </row>
    <row r="192" spans="1:41" ht="15.75" customHeight="1" x14ac:dyDescent="0.25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7"/>
      <c r="AO192" s="57"/>
    </row>
    <row r="193" spans="1:41" ht="15.75" customHeight="1" x14ac:dyDescent="0.25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7"/>
      <c r="AO193" s="57"/>
    </row>
    <row r="194" spans="1:41" ht="15.75" customHeight="1" x14ac:dyDescent="0.25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7"/>
      <c r="AO194" s="57"/>
    </row>
    <row r="195" spans="1:41" ht="15.75" customHeight="1" x14ac:dyDescent="0.2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7"/>
      <c r="AO195" s="57"/>
    </row>
    <row r="196" spans="1:41" ht="15.75" customHeight="1" x14ac:dyDescent="0.25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7"/>
      <c r="AO196" s="57"/>
    </row>
    <row r="197" spans="1:41" ht="15.75" customHeight="1" x14ac:dyDescent="0.25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7"/>
      <c r="AO197" s="57"/>
    </row>
    <row r="198" spans="1:41" ht="15.75" customHeight="1" x14ac:dyDescent="0.25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7"/>
      <c r="AO198" s="57"/>
    </row>
    <row r="199" spans="1:41" ht="15.75" customHeight="1" x14ac:dyDescent="0.25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7"/>
      <c r="AO199" s="57"/>
    </row>
    <row r="200" spans="1:41" ht="15.75" customHeight="1" x14ac:dyDescent="0.25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7"/>
      <c r="AO200" s="57"/>
    </row>
    <row r="201" spans="1:41" ht="15.75" customHeight="1" x14ac:dyDescent="0.25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7"/>
      <c r="AO201" s="57"/>
    </row>
    <row r="202" spans="1:41" ht="15.75" customHeight="1" x14ac:dyDescent="0.25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7"/>
      <c r="AO202" s="57"/>
    </row>
    <row r="203" spans="1:41" ht="15.75" customHeight="1" x14ac:dyDescent="0.25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7"/>
      <c r="AO203" s="57"/>
    </row>
    <row r="204" spans="1:41" ht="15.75" customHeight="1" x14ac:dyDescent="0.25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7"/>
      <c r="AO204" s="57"/>
    </row>
    <row r="205" spans="1:41" ht="15.75" customHeight="1" x14ac:dyDescent="0.2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7"/>
      <c r="AO205" s="57"/>
    </row>
    <row r="206" spans="1:41" ht="15.75" customHeight="1" x14ac:dyDescent="0.25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7"/>
      <c r="AO206" s="57"/>
    </row>
    <row r="207" spans="1:41" ht="15.75" customHeight="1" x14ac:dyDescent="0.25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7"/>
      <c r="AO207" s="57"/>
    </row>
    <row r="208" spans="1:41" ht="15.75" customHeight="1" x14ac:dyDescent="0.25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7"/>
      <c r="AO208" s="57"/>
    </row>
    <row r="209" spans="1:41" ht="15.75" customHeight="1" x14ac:dyDescent="0.25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7"/>
      <c r="AO209" s="57"/>
    </row>
    <row r="210" spans="1:41" ht="15.75" customHeight="1" x14ac:dyDescent="0.25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7"/>
      <c r="AO210" s="57"/>
    </row>
    <row r="211" spans="1:41" ht="15.75" customHeight="1" x14ac:dyDescent="0.25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7"/>
      <c r="AO211" s="57"/>
    </row>
    <row r="212" spans="1:41" ht="15.75" customHeight="1" x14ac:dyDescent="0.25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7"/>
      <c r="AO212" s="57"/>
    </row>
    <row r="213" spans="1:41" ht="15.75" customHeight="1" x14ac:dyDescent="0.25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7"/>
      <c r="AO213" s="57"/>
    </row>
    <row r="214" spans="1:41" ht="15.75" customHeight="1" x14ac:dyDescent="0.25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7"/>
      <c r="AO214" s="57"/>
    </row>
    <row r="215" spans="1:41" ht="15.75" customHeight="1" x14ac:dyDescent="0.2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7"/>
      <c r="AO215" s="57"/>
    </row>
    <row r="216" spans="1:41" ht="15.75" customHeight="1" x14ac:dyDescent="0.25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7"/>
      <c r="AO216" s="57"/>
    </row>
    <row r="217" spans="1:41" ht="15.75" customHeight="1" x14ac:dyDescent="0.25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7"/>
      <c r="AO217" s="57"/>
    </row>
    <row r="218" spans="1:41" ht="15.75" customHeight="1" x14ac:dyDescent="0.25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7"/>
      <c r="AO218" s="57"/>
    </row>
    <row r="219" spans="1:41" ht="15.75" customHeight="1" x14ac:dyDescent="0.25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7"/>
      <c r="AO219" s="57"/>
    </row>
    <row r="220" spans="1:41" ht="15.75" customHeight="1" x14ac:dyDescent="0.25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7"/>
      <c r="AO220" s="57"/>
    </row>
    <row r="221" spans="1:41" ht="15.75" customHeight="1" x14ac:dyDescent="0.25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7"/>
      <c r="AO221" s="57"/>
    </row>
    <row r="222" spans="1:41" ht="15.75" customHeight="1" x14ac:dyDescent="0.25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7"/>
      <c r="AO222" s="57"/>
    </row>
    <row r="223" spans="1:41" ht="15.75" customHeight="1" x14ac:dyDescent="0.25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7"/>
      <c r="AO223" s="57"/>
    </row>
    <row r="224" spans="1:41" ht="15.75" customHeight="1" x14ac:dyDescent="0.25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7"/>
      <c r="AO224" s="57"/>
    </row>
    <row r="225" spans="1:41" ht="15.75" customHeight="1" x14ac:dyDescent="0.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7"/>
      <c r="AO225" s="57"/>
    </row>
    <row r="226" spans="1:41" ht="15.75" customHeight="1" x14ac:dyDescent="0.25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7"/>
      <c r="AO226" s="57"/>
    </row>
    <row r="227" spans="1:41" ht="15.75" customHeight="1" x14ac:dyDescent="0.25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7"/>
      <c r="AO227" s="57"/>
    </row>
    <row r="228" spans="1:41" ht="15.75" customHeight="1" x14ac:dyDescent="0.25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7"/>
      <c r="AO228" s="57"/>
    </row>
    <row r="229" spans="1:41" ht="15.75" customHeight="1" x14ac:dyDescent="0.25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7"/>
      <c r="AO229" s="57"/>
    </row>
    <row r="230" spans="1:41" ht="15.75" customHeight="1" x14ac:dyDescent="0.25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7"/>
      <c r="AO230" s="57"/>
    </row>
    <row r="231" spans="1:41" ht="15.75" customHeight="1" x14ac:dyDescent="0.25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7"/>
      <c r="AO231" s="57"/>
    </row>
    <row r="232" spans="1:41" ht="15.75" customHeight="1" x14ac:dyDescent="0.25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7"/>
      <c r="AO232" s="57"/>
    </row>
    <row r="233" spans="1:41" ht="15.75" customHeight="1" x14ac:dyDescent="0.25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7"/>
      <c r="AO233" s="57"/>
    </row>
    <row r="234" spans="1:41" ht="15.75" customHeight="1" x14ac:dyDescent="0.25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7"/>
      <c r="AO234" s="57"/>
    </row>
    <row r="235" spans="1:41" ht="15.75" customHeight="1" x14ac:dyDescent="0.2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7"/>
      <c r="AO235" s="57"/>
    </row>
    <row r="236" spans="1:41" ht="15.75" customHeight="1" x14ac:dyDescent="0.25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7"/>
      <c r="AO236" s="57"/>
    </row>
    <row r="237" spans="1:41" ht="15.75" customHeight="1" x14ac:dyDescent="0.25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7"/>
      <c r="AO237" s="57"/>
    </row>
    <row r="238" spans="1:41" ht="15.75" customHeight="1" x14ac:dyDescent="0.25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7"/>
      <c r="AO238" s="57"/>
    </row>
    <row r="239" spans="1:41" ht="15.75" customHeight="1" x14ac:dyDescent="0.25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7"/>
      <c r="AO239" s="57"/>
    </row>
    <row r="240" spans="1:41" ht="15.75" customHeight="1" x14ac:dyDescent="0.25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7"/>
      <c r="AO240" s="57"/>
    </row>
    <row r="241" spans="1:41" ht="15.75" customHeight="1" x14ac:dyDescent="0.25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7"/>
      <c r="AO241" s="57"/>
    </row>
    <row r="242" spans="1:41" ht="15.75" customHeight="1" x14ac:dyDescent="0.25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7"/>
      <c r="AO242" s="57"/>
    </row>
    <row r="243" spans="1:41" ht="15.75" customHeight="1" x14ac:dyDescent="0.25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7"/>
      <c r="AO243" s="57"/>
    </row>
    <row r="244" spans="1:41" ht="15.75" customHeight="1" x14ac:dyDescent="0.25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7"/>
      <c r="AO244" s="57"/>
    </row>
    <row r="245" spans="1:41" ht="15.75" customHeight="1" x14ac:dyDescent="0.2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7"/>
      <c r="AO245" s="57"/>
    </row>
    <row r="246" spans="1:41" ht="15.75" customHeight="1" x14ac:dyDescent="0.25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7"/>
      <c r="AO246" s="57"/>
    </row>
    <row r="247" spans="1:41" ht="15.75" customHeight="1" x14ac:dyDescent="0.25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7"/>
      <c r="AO247" s="57"/>
    </row>
    <row r="248" spans="1:41" ht="15.75" customHeight="1" x14ac:dyDescent="0.25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7"/>
      <c r="AO248" s="57"/>
    </row>
    <row r="249" spans="1:41" ht="15.75" customHeight="1" x14ac:dyDescent="0.25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7"/>
      <c r="AO249" s="57"/>
    </row>
    <row r="250" spans="1:41" ht="15.75" customHeight="1" x14ac:dyDescent="0.25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7"/>
      <c r="AO250" s="57"/>
    </row>
    <row r="251" spans="1:41" ht="15.75" customHeight="1" x14ac:dyDescent="0.25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7"/>
      <c r="AO251" s="57"/>
    </row>
    <row r="252" spans="1:41" ht="15.75" customHeight="1" x14ac:dyDescent="0.25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7"/>
      <c r="AO252" s="57"/>
    </row>
    <row r="253" spans="1:41" ht="15.75" customHeight="1" x14ac:dyDescent="0.25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7"/>
      <c r="AO253" s="57"/>
    </row>
    <row r="254" spans="1:41" ht="15.75" customHeight="1" x14ac:dyDescent="0.25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7"/>
      <c r="AO254" s="57"/>
    </row>
    <row r="255" spans="1:41" ht="15.75" customHeight="1" x14ac:dyDescent="0.2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7"/>
      <c r="AO255" s="57"/>
    </row>
    <row r="256" spans="1:41" ht="15.75" customHeight="1" x14ac:dyDescent="0.25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7"/>
      <c r="AO256" s="57"/>
    </row>
    <row r="257" spans="1:41" ht="15.75" customHeight="1" x14ac:dyDescent="0.25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7"/>
      <c r="AO257" s="57"/>
    </row>
    <row r="258" spans="1:41" ht="15.75" customHeight="1" x14ac:dyDescent="0.25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7"/>
      <c r="AO258" s="57"/>
    </row>
    <row r="259" spans="1:41" ht="15.75" customHeight="1" x14ac:dyDescent="0.25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7"/>
      <c r="AO259" s="57"/>
    </row>
    <row r="260" spans="1:41" ht="15.75" customHeight="1" x14ac:dyDescent="0.25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7"/>
      <c r="AO260" s="57"/>
    </row>
    <row r="261" spans="1:41" ht="15.75" customHeight="1" x14ac:dyDescent="0.25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7"/>
      <c r="AO261" s="57"/>
    </row>
    <row r="262" spans="1:41" ht="15.75" customHeight="1" x14ac:dyDescent="0.25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7"/>
      <c r="AO262" s="57"/>
    </row>
    <row r="263" spans="1:41" ht="15.75" customHeight="1" x14ac:dyDescent="0.25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7"/>
      <c r="AO263" s="57"/>
    </row>
    <row r="264" spans="1:41" ht="15.75" customHeight="1" x14ac:dyDescent="0.25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7"/>
      <c r="AO264" s="57"/>
    </row>
    <row r="265" spans="1:41" ht="15.75" customHeight="1" x14ac:dyDescent="0.2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7"/>
      <c r="AO265" s="57"/>
    </row>
    <row r="266" spans="1:41" ht="15.75" customHeight="1" x14ac:dyDescent="0.25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7"/>
      <c r="AO266" s="57"/>
    </row>
    <row r="267" spans="1:41" ht="15.75" customHeight="1" x14ac:dyDescent="0.25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7"/>
      <c r="AO267" s="57"/>
    </row>
    <row r="268" spans="1:41" ht="15.75" customHeight="1" x14ac:dyDescent="0.25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7"/>
      <c r="AO268" s="57"/>
    </row>
    <row r="269" spans="1:41" ht="15.75" customHeight="1" x14ac:dyDescent="0.25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7"/>
      <c r="AO269" s="57"/>
    </row>
    <row r="270" spans="1:41" ht="15.75" customHeight="1" x14ac:dyDescent="0.25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7"/>
      <c r="AO270" s="57"/>
    </row>
    <row r="271" spans="1:41" ht="15.75" customHeight="1" x14ac:dyDescent="0.25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7"/>
      <c r="AO271" s="57"/>
    </row>
    <row r="272" spans="1:41" ht="15.75" customHeight="1" x14ac:dyDescent="0.25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7"/>
      <c r="AO272" s="57"/>
    </row>
    <row r="273" spans="1:41" ht="15.75" customHeight="1" x14ac:dyDescent="0.25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7"/>
      <c r="AO273" s="57"/>
    </row>
    <row r="274" spans="1:41" ht="15.75" customHeight="1" x14ac:dyDescent="0.25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7"/>
      <c r="AO274" s="57"/>
    </row>
    <row r="275" spans="1:41" ht="15.75" customHeight="1" x14ac:dyDescent="0.2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7"/>
      <c r="AO275" s="57"/>
    </row>
    <row r="276" spans="1:41" ht="15.75" customHeight="1" x14ac:dyDescent="0.25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7"/>
      <c r="AO276" s="57"/>
    </row>
    <row r="277" spans="1:41" ht="15.75" customHeight="1" x14ac:dyDescent="0.25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7"/>
      <c r="AO277" s="57"/>
    </row>
    <row r="278" spans="1:41" ht="15.75" customHeight="1" x14ac:dyDescent="0.25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7"/>
      <c r="AO278" s="57"/>
    </row>
    <row r="279" spans="1:41" ht="15.75" customHeight="1" x14ac:dyDescent="0.25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7"/>
      <c r="AO279" s="57"/>
    </row>
    <row r="280" spans="1:41" ht="15.75" customHeight="1" x14ac:dyDescent="0.25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7"/>
      <c r="AO280" s="57"/>
    </row>
    <row r="281" spans="1:41" ht="15.75" customHeight="1" x14ac:dyDescent="0.25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7"/>
      <c r="AO281" s="57"/>
    </row>
    <row r="282" spans="1:41" ht="15.75" customHeight="1" x14ac:dyDescent="0.25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7"/>
      <c r="AO282" s="57"/>
    </row>
    <row r="283" spans="1:41" ht="15.75" customHeight="1" x14ac:dyDescent="0.25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7"/>
      <c r="AO283" s="57"/>
    </row>
    <row r="284" spans="1:41" ht="15.75" customHeight="1" x14ac:dyDescent="0.25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7"/>
      <c r="AO284" s="57"/>
    </row>
    <row r="285" spans="1:41" ht="15.75" customHeight="1" x14ac:dyDescent="0.2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7"/>
      <c r="AO285" s="57"/>
    </row>
    <row r="286" spans="1:41" ht="15.75" customHeight="1" x14ac:dyDescent="0.25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7"/>
      <c r="AO286" s="57"/>
    </row>
    <row r="287" spans="1:41" ht="15.75" customHeight="1" x14ac:dyDescent="0.25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7"/>
      <c r="AO287" s="57"/>
    </row>
    <row r="288" spans="1:41" ht="15.75" customHeight="1" x14ac:dyDescent="0.25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7"/>
      <c r="AO288" s="57"/>
    </row>
    <row r="289" spans="1:41" ht="15.75" customHeight="1" x14ac:dyDescent="0.25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7"/>
      <c r="AO289" s="57"/>
    </row>
    <row r="290" spans="1:41" ht="15.75" customHeight="1" x14ac:dyDescent="0.25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7"/>
      <c r="AO290" s="57"/>
    </row>
    <row r="291" spans="1:41" ht="15.75" customHeight="1" x14ac:dyDescent="0.25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7"/>
      <c r="AO291" s="57"/>
    </row>
    <row r="292" spans="1:41" ht="15.75" customHeight="1" x14ac:dyDescent="0.25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7"/>
      <c r="AO292" s="57"/>
    </row>
    <row r="293" spans="1:41" ht="15.75" customHeight="1" x14ac:dyDescent="0.25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7"/>
      <c r="AO293" s="57"/>
    </row>
    <row r="294" spans="1:41" ht="15.75" customHeight="1" x14ac:dyDescent="0.25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7"/>
      <c r="AO294" s="57"/>
    </row>
    <row r="295" spans="1:41" ht="15.75" customHeight="1" x14ac:dyDescent="0.2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7"/>
      <c r="AO295" s="57"/>
    </row>
    <row r="296" spans="1:41" ht="15.75" customHeight="1" x14ac:dyDescent="0.25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7"/>
      <c r="AO296" s="57"/>
    </row>
    <row r="297" spans="1:41" ht="15.75" customHeight="1" x14ac:dyDescent="0.25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7"/>
      <c r="AO297" s="57"/>
    </row>
    <row r="298" spans="1:41" ht="15.75" customHeight="1" x14ac:dyDescent="0.25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7"/>
      <c r="AO298" s="57"/>
    </row>
    <row r="299" spans="1:41" ht="15.75" customHeight="1" x14ac:dyDescent="0.25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7"/>
      <c r="AO299" s="57"/>
    </row>
    <row r="300" spans="1:41" ht="15.75" customHeight="1" x14ac:dyDescent="0.25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7"/>
      <c r="AO300" s="57"/>
    </row>
    <row r="301" spans="1:41" ht="15.75" customHeight="1" x14ac:dyDescent="0.25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7"/>
      <c r="AO301" s="57"/>
    </row>
    <row r="302" spans="1:41" ht="15.75" customHeight="1" x14ac:dyDescent="0.25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7"/>
      <c r="AO302" s="57"/>
    </row>
    <row r="303" spans="1:41" ht="15.75" customHeight="1" x14ac:dyDescent="0.25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7"/>
      <c r="AO303" s="57"/>
    </row>
    <row r="304" spans="1:41" ht="15.75" customHeight="1" x14ac:dyDescent="0.25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7"/>
      <c r="AO304" s="57"/>
    </row>
    <row r="305" spans="1:41" ht="15.75" customHeight="1" x14ac:dyDescent="0.2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7"/>
      <c r="AO305" s="57"/>
    </row>
    <row r="306" spans="1:41" ht="15.75" customHeight="1" x14ac:dyDescent="0.25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7"/>
      <c r="AO306" s="57"/>
    </row>
    <row r="307" spans="1:41" ht="15.75" customHeight="1" x14ac:dyDescent="0.25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7"/>
      <c r="AO307" s="57"/>
    </row>
    <row r="308" spans="1:41" ht="15.75" customHeight="1" x14ac:dyDescent="0.25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7"/>
      <c r="AO308" s="57"/>
    </row>
    <row r="309" spans="1:41" ht="15.75" customHeight="1" x14ac:dyDescent="0.25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7"/>
      <c r="AO309" s="57"/>
    </row>
    <row r="310" spans="1:41" ht="15.75" customHeight="1" x14ac:dyDescent="0.25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7"/>
      <c r="AO310" s="57"/>
    </row>
    <row r="311" spans="1:41" ht="15.75" customHeight="1" x14ac:dyDescent="0.25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7"/>
      <c r="AO311" s="57"/>
    </row>
    <row r="312" spans="1:41" ht="15.75" customHeight="1" x14ac:dyDescent="0.25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7"/>
      <c r="AO312" s="57"/>
    </row>
    <row r="313" spans="1:41" ht="15.75" customHeight="1" x14ac:dyDescent="0.25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7"/>
      <c r="AO313" s="57"/>
    </row>
    <row r="314" spans="1:41" ht="15.75" customHeight="1" x14ac:dyDescent="0.25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7"/>
      <c r="AO314" s="57"/>
    </row>
    <row r="315" spans="1:41" ht="15.75" customHeight="1" x14ac:dyDescent="0.2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7"/>
      <c r="AO315" s="57"/>
    </row>
    <row r="316" spans="1:41" ht="15.75" customHeight="1" x14ac:dyDescent="0.25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7"/>
      <c r="AO316" s="57"/>
    </row>
    <row r="317" spans="1:41" ht="15.75" customHeight="1" x14ac:dyDescent="0.25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7"/>
      <c r="AO317" s="57"/>
    </row>
    <row r="318" spans="1:41" ht="15.75" customHeight="1" x14ac:dyDescent="0.25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7"/>
      <c r="AO318" s="57"/>
    </row>
    <row r="319" spans="1:41" ht="15.75" customHeight="1" x14ac:dyDescent="0.25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7"/>
      <c r="AO319" s="57"/>
    </row>
    <row r="320" spans="1:41" ht="15.75" customHeight="1" x14ac:dyDescent="0.25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7"/>
      <c r="AO320" s="57"/>
    </row>
    <row r="321" spans="1:41" ht="15.75" customHeight="1" x14ac:dyDescent="0.25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7"/>
      <c r="AO321" s="57"/>
    </row>
    <row r="322" spans="1:41" ht="15.75" customHeight="1" x14ac:dyDescent="0.25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7"/>
      <c r="AO322" s="57"/>
    </row>
    <row r="323" spans="1:41" ht="15.75" customHeight="1" x14ac:dyDescent="0.25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7"/>
      <c r="AO323" s="57"/>
    </row>
    <row r="324" spans="1:41" ht="15.75" customHeight="1" x14ac:dyDescent="0.25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7"/>
      <c r="AO324" s="57"/>
    </row>
    <row r="325" spans="1:41" ht="15.75" customHeight="1" x14ac:dyDescent="0.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7"/>
      <c r="AO325" s="57"/>
    </row>
    <row r="326" spans="1:41" ht="15.75" customHeight="1" x14ac:dyDescent="0.25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7"/>
      <c r="AO326" s="57"/>
    </row>
    <row r="327" spans="1:41" ht="15.75" customHeight="1" x14ac:dyDescent="0.25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7"/>
      <c r="AO327" s="57"/>
    </row>
    <row r="328" spans="1:41" ht="15.75" customHeight="1" x14ac:dyDescent="0.25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7"/>
      <c r="AO328" s="57"/>
    </row>
    <row r="329" spans="1:41" ht="15.75" customHeight="1" x14ac:dyDescent="0.25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7"/>
      <c r="AO329" s="57"/>
    </row>
    <row r="330" spans="1:41" ht="15.75" customHeight="1" x14ac:dyDescent="0.25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7"/>
      <c r="AO330" s="57"/>
    </row>
    <row r="331" spans="1:41" ht="15.75" customHeight="1" x14ac:dyDescent="0.25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7"/>
      <c r="AO331" s="57"/>
    </row>
    <row r="332" spans="1:41" ht="15.75" customHeight="1" x14ac:dyDescent="0.25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7"/>
      <c r="AO332" s="57"/>
    </row>
    <row r="333" spans="1:41" ht="15.75" customHeight="1" x14ac:dyDescent="0.25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7"/>
      <c r="AO333" s="57"/>
    </row>
    <row r="334" spans="1:41" ht="15.75" customHeight="1" x14ac:dyDescent="0.25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7"/>
      <c r="AO334" s="57"/>
    </row>
    <row r="335" spans="1:41" ht="15.75" customHeight="1" x14ac:dyDescent="0.2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7"/>
      <c r="AO335" s="57"/>
    </row>
    <row r="336" spans="1:41" ht="15.75" customHeight="1" x14ac:dyDescent="0.25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7"/>
      <c r="AO336" s="57"/>
    </row>
    <row r="337" spans="1:41" ht="15.75" customHeight="1" x14ac:dyDescent="0.25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7"/>
      <c r="AO337" s="57"/>
    </row>
    <row r="338" spans="1:41" ht="15.75" customHeight="1" x14ac:dyDescent="0.25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7"/>
      <c r="AO338" s="57"/>
    </row>
    <row r="339" spans="1:41" ht="15.75" customHeight="1" x14ac:dyDescent="0.25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7"/>
      <c r="AO339" s="57"/>
    </row>
    <row r="340" spans="1:41" ht="15.75" customHeight="1" x14ac:dyDescent="0.25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7"/>
      <c r="AO340" s="57"/>
    </row>
    <row r="341" spans="1:41" ht="15.75" customHeight="1" x14ac:dyDescent="0.25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7"/>
      <c r="AO341" s="57"/>
    </row>
    <row r="342" spans="1:41" ht="15.75" customHeight="1" x14ac:dyDescent="0.25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7"/>
      <c r="AO342" s="57"/>
    </row>
    <row r="343" spans="1:41" ht="15.75" customHeight="1" x14ac:dyDescent="0.25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7"/>
      <c r="AO343" s="57"/>
    </row>
    <row r="344" spans="1:41" ht="15.75" customHeight="1" x14ac:dyDescent="0.25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7"/>
      <c r="AO344" s="57"/>
    </row>
    <row r="345" spans="1:41" ht="15.75" customHeight="1" x14ac:dyDescent="0.2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7"/>
      <c r="AO345" s="57"/>
    </row>
    <row r="346" spans="1:41" ht="15.75" customHeight="1" x14ac:dyDescent="0.25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7"/>
      <c r="AO346" s="57"/>
    </row>
    <row r="347" spans="1:41" ht="15.75" customHeight="1" x14ac:dyDescent="0.25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7"/>
      <c r="AO347" s="57"/>
    </row>
    <row r="348" spans="1:41" ht="15.75" customHeight="1" x14ac:dyDescent="0.25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7"/>
      <c r="AO348" s="57"/>
    </row>
    <row r="349" spans="1:41" ht="15.75" customHeight="1" x14ac:dyDescent="0.25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7"/>
      <c r="AO349" s="57"/>
    </row>
    <row r="350" spans="1:41" ht="15.75" customHeight="1" x14ac:dyDescent="0.25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7"/>
      <c r="AO350" s="57"/>
    </row>
    <row r="351" spans="1:41" ht="15.75" customHeight="1" x14ac:dyDescent="0.25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7"/>
      <c r="AO351" s="57"/>
    </row>
    <row r="352" spans="1:41" ht="15.75" customHeight="1" x14ac:dyDescent="0.25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7"/>
      <c r="AO352" s="57"/>
    </row>
    <row r="353" spans="1:41" ht="15.75" customHeight="1" x14ac:dyDescent="0.25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7"/>
      <c r="AO353" s="57"/>
    </row>
    <row r="354" spans="1:41" ht="15.75" customHeight="1" x14ac:dyDescent="0.25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7"/>
      <c r="AO354" s="57"/>
    </row>
    <row r="355" spans="1:41" ht="15.75" customHeight="1" x14ac:dyDescent="0.2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7"/>
      <c r="AO355" s="57"/>
    </row>
    <row r="356" spans="1:41" ht="15.75" customHeight="1" x14ac:dyDescent="0.25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7"/>
      <c r="AO356" s="57"/>
    </row>
    <row r="357" spans="1:41" ht="15.75" customHeight="1" x14ac:dyDescent="0.25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7"/>
      <c r="AO357" s="57"/>
    </row>
    <row r="358" spans="1:41" ht="15.75" customHeight="1" x14ac:dyDescent="0.25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7"/>
      <c r="AO358" s="57"/>
    </row>
    <row r="359" spans="1:41" ht="15.75" customHeight="1" x14ac:dyDescent="0.25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7"/>
      <c r="AO359" s="57"/>
    </row>
    <row r="360" spans="1:41" ht="15.75" customHeight="1" x14ac:dyDescent="0.25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7"/>
      <c r="AO360" s="57"/>
    </row>
    <row r="361" spans="1:41" ht="15.75" customHeight="1" x14ac:dyDescent="0.25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7"/>
      <c r="AO361" s="57"/>
    </row>
    <row r="362" spans="1:41" ht="15.75" customHeight="1" x14ac:dyDescent="0.25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7"/>
      <c r="AO362" s="57"/>
    </row>
    <row r="363" spans="1:41" ht="15.75" customHeight="1" x14ac:dyDescent="0.25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7"/>
      <c r="AO363" s="57"/>
    </row>
    <row r="364" spans="1:41" ht="15.75" customHeight="1" x14ac:dyDescent="0.25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7"/>
      <c r="AO364" s="57"/>
    </row>
    <row r="365" spans="1:41" ht="15.75" customHeight="1" x14ac:dyDescent="0.2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7"/>
      <c r="AO365" s="57"/>
    </row>
    <row r="366" spans="1:41" ht="15.75" customHeight="1" x14ac:dyDescent="0.25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7"/>
      <c r="AO366" s="57"/>
    </row>
    <row r="367" spans="1:41" ht="15.75" customHeight="1" x14ac:dyDescent="0.25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7"/>
      <c r="AO367" s="57"/>
    </row>
    <row r="368" spans="1:41" ht="15.75" customHeight="1" x14ac:dyDescent="0.25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7"/>
      <c r="AO368" s="57"/>
    </row>
    <row r="369" spans="1:41" ht="15.75" customHeight="1" x14ac:dyDescent="0.25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7"/>
      <c r="AO369" s="57"/>
    </row>
    <row r="370" spans="1:41" ht="15.75" customHeight="1" x14ac:dyDescent="0.25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7"/>
      <c r="AO370" s="57"/>
    </row>
    <row r="371" spans="1:41" ht="15.75" customHeight="1" x14ac:dyDescent="0.25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7"/>
      <c r="AO371" s="57"/>
    </row>
    <row r="372" spans="1:41" ht="15.75" customHeight="1" x14ac:dyDescent="0.25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7"/>
      <c r="AO372" s="57"/>
    </row>
    <row r="373" spans="1:41" ht="15.75" customHeight="1" x14ac:dyDescent="0.25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7"/>
      <c r="AO373" s="57"/>
    </row>
    <row r="374" spans="1:41" ht="15.75" customHeight="1" x14ac:dyDescent="0.25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7"/>
      <c r="AO374" s="57"/>
    </row>
    <row r="375" spans="1:41" ht="15.75" customHeight="1" x14ac:dyDescent="0.2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7"/>
      <c r="AO375" s="57"/>
    </row>
    <row r="376" spans="1:41" ht="15.75" customHeight="1" x14ac:dyDescent="0.25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7"/>
      <c r="AO376" s="57"/>
    </row>
    <row r="377" spans="1:41" ht="15.75" customHeight="1" x14ac:dyDescent="0.25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7"/>
      <c r="AO377" s="57"/>
    </row>
    <row r="378" spans="1:41" ht="15.75" customHeight="1" x14ac:dyDescent="0.25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7"/>
      <c r="AO378" s="57"/>
    </row>
    <row r="379" spans="1:41" ht="15.75" customHeight="1" x14ac:dyDescent="0.25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7"/>
      <c r="AO379" s="57"/>
    </row>
    <row r="380" spans="1:41" ht="15.75" customHeight="1" x14ac:dyDescent="0.25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7"/>
      <c r="AO380" s="57"/>
    </row>
    <row r="381" spans="1:41" ht="15.75" customHeight="1" x14ac:dyDescent="0.25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7"/>
      <c r="AO381" s="57"/>
    </row>
    <row r="382" spans="1:41" ht="15.75" customHeight="1" x14ac:dyDescent="0.25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7"/>
      <c r="AO382" s="57"/>
    </row>
    <row r="383" spans="1:41" ht="15.75" customHeight="1" x14ac:dyDescent="0.25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7"/>
      <c r="AO383" s="57"/>
    </row>
    <row r="384" spans="1:41" ht="15.75" customHeight="1" x14ac:dyDescent="0.25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7"/>
      <c r="AO384" s="57"/>
    </row>
    <row r="385" spans="1:41" ht="15.75" customHeight="1" x14ac:dyDescent="0.2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7"/>
      <c r="AO385" s="57"/>
    </row>
    <row r="386" spans="1:41" ht="15.75" customHeight="1" x14ac:dyDescent="0.25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7"/>
      <c r="AO386" s="57"/>
    </row>
    <row r="387" spans="1:41" ht="15.75" customHeight="1" x14ac:dyDescent="0.25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7"/>
      <c r="AO387" s="57"/>
    </row>
    <row r="388" spans="1:41" ht="15.75" customHeight="1" x14ac:dyDescent="0.25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7"/>
      <c r="AO388" s="57"/>
    </row>
    <row r="389" spans="1:41" ht="15.75" customHeight="1" x14ac:dyDescent="0.25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7"/>
      <c r="AO389" s="57"/>
    </row>
    <row r="390" spans="1:41" ht="15.75" customHeight="1" x14ac:dyDescent="0.25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7"/>
      <c r="AO390" s="57"/>
    </row>
    <row r="391" spans="1:41" ht="15.75" customHeight="1" x14ac:dyDescent="0.25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7"/>
      <c r="AO391" s="57"/>
    </row>
    <row r="392" spans="1:41" ht="15.75" customHeight="1" x14ac:dyDescent="0.25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7"/>
      <c r="AO392" s="57"/>
    </row>
    <row r="393" spans="1:41" ht="15.75" customHeight="1" x14ac:dyDescent="0.25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7"/>
      <c r="AO393" s="57"/>
    </row>
    <row r="394" spans="1:41" ht="15.75" customHeight="1" x14ac:dyDescent="0.25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7"/>
      <c r="AO394" s="57"/>
    </row>
    <row r="395" spans="1:41" ht="15.75" customHeight="1" x14ac:dyDescent="0.2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7"/>
      <c r="AO395" s="57"/>
    </row>
    <row r="396" spans="1:41" ht="15.75" customHeight="1" x14ac:dyDescent="0.25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7"/>
      <c r="AO396" s="57"/>
    </row>
    <row r="397" spans="1:41" ht="15.75" customHeight="1" x14ac:dyDescent="0.25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7"/>
      <c r="AO397" s="57"/>
    </row>
    <row r="398" spans="1:41" ht="15.75" customHeight="1" x14ac:dyDescent="0.25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7"/>
      <c r="AO398" s="57"/>
    </row>
    <row r="399" spans="1:41" ht="15.75" customHeight="1" x14ac:dyDescent="0.25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7"/>
      <c r="AO399" s="57"/>
    </row>
    <row r="400" spans="1:41" ht="15.75" customHeight="1" x14ac:dyDescent="0.25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7"/>
      <c r="AO400" s="57"/>
    </row>
    <row r="401" spans="1:41" ht="15.75" customHeight="1" x14ac:dyDescent="0.25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7"/>
      <c r="AO401" s="57"/>
    </row>
    <row r="402" spans="1:41" ht="15.75" customHeight="1" x14ac:dyDescent="0.25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7"/>
      <c r="AO402" s="57"/>
    </row>
    <row r="403" spans="1:41" ht="15.75" customHeight="1" x14ac:dyDescent="0.25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7"/>
      <c r="AO403" s="57"/>
    </row>
    <row r="404" spans="1:41" ht="15.75" customHeight="1" x14ac:dyDescent="0.25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7"/>
      <c r="AO404" s="57"/>
    </row>
    <row r="405" spans="1:41" ht="15.75" customHeight="1" x14ac:dyDescent="0.2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7"/>
      <c r="AO405" s="57"/>
    </row>
    <row r="406" spans="1:41" ht="15.75" customHeight="1" x14ac:dyDescent="0.25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7"/>
      <c r="AO406" s="57"/>
    </row>
    <row r="407" spans="1:41" ht="15.75" customHeight="1" x14ac:dyDescent="0.25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7"/>
      <c r="AO407" s="57"/>
    </row>
    <row r="408" spans="1:41" ht="15.75" customHeight="1" x14ac:dyDescent="0.25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7"/>
      <c r="AO408" s="57"/>
    </row>
    <row r="409" spans="1:41" ht="15.75" customHeight="1" x14ac:dyDescent="0.25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7"/>
      <c r="AO409" s="57"/>
    </row>
    <row r="410" spans="1:41" ht="15.75" customHeight="1" x14ac:dyDescent="0.25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7"/>
      <c r="AO410" s="57"/>
    </row>
    <row r="411" spans="1:41" ht="15.75" customHeight="1" x14ac:dyDescent="0.25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7"/>
      <c r="AO411" s="57"/>
    </row>
    <row r="412" spans="1:41" ht="15.75" customHeight="1" x14ac:dyDescent="0.25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7"/>
      <c r="AO412" s="57"/>
    </row>
    <row r="413" spans="1:41" ht="15.75" customHeight="1" x14ac:dyDescent="0.25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7"/>
      <c r="AO413" s="57"/>
    </row>
    <row r="414" spans="1:41" ht="15.75" customHeight="1" x14ac:dyDescent="0.25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7"/>
      <c r="AO414" s="57"/>
    </row>
    <row r="415" spans="1:41" ht="15.75" customHeight="1" x14ac:dyDescent="0.2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7"/>
      <c r="AO415" s="57"/>
    </row>
    <row r="416" spans="1:41" ht="15.75" customHeight="1" x14ac:dyDescent="0.25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7"/>
      <c r="AO416" s="57"/>
    </row>
    <row r="417" spans="1:41" ht="15.75" customHeight="1" x14ac:dyDescent="0.25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7"/>
      <c r="AO417" s="57"/>
    </row>
    <row r="418" spans="1:41" ht="15.75" customHeight="1" x14ac:dyDescent="0.25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7"/>
      <c r="AO418" s="57"/>
    </row>
    <row r="419" spans="1:41" ht="15.75" customHeight="1" x14ac:dyDescent="0.25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7"/>
      <c r="AO419" s="57"/>
    </row>
    <row r="420" spans="1:41" ht="15.75" customHeight="1" x14ac:dyDescent="0.25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7"/>
      <c r="AO420" s="57"/>
    </row>
    <row r="421" spans="1:41" ht="15.75" customHeight="1" x14ac:dyDescent="0.25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7"/>
      <c r="AO421" s="57"/>
    </row>
    <row r="422" spans="1:41" ht="15.75" customHeight="1" x14ac:dyDescent="0.25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7"/>
      <c r="AO422" s="57"/>
    </row>
    <row r="423" spans="1:41" ht="15.75" customHeight="1" x14ac:dyDescent="0.25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7"/>
      <c r="AO423" s="57"/>
    </row>
    <row r="424" spans="1:41" ht="15.75" customHeight="1" x14ac:dyDescent="0.25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7"/>
      <c r="AO424" s="57"/>
    </row>
    <row r="425" spans="1:41" ht="15.75" customHeight="1" x14ac:dyDescent="0.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7"/>
      <c r="AO425" s="57"/>
    </row>
    <row r="426" spans="1:41" ht="15.75" customHeight="1" x14ac:dyDescent="0.25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7"/>
      <c r="AO426" s="57"/>
    </row>
    <row r="427" spans="1:41" ht="15.75" customHeight="1" x14ac:dyDescent="0.25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7"/>
      <c r="AO427" s="57"/>
    </row>
    <row r="428" spans="1:41" ht="15.75" customHeight="1" x14ac:dyDescent="0.25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7"/>
      <c r="AO428" s="57"/>
    </row>
    <row r="429" spans="1:41" ht="15.75" customHeight="1" x14ac:dyDescent="0.25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7"/>
      <c r="AO429" s="57"/>
    </row>
    <row r="430" spans="1:41" ht="15.75" customHeight="1" x14ac:dyDescent="0.25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7"/>
      <c r="AO430" s="57"/>
    </row>
    <row r="431" spans="1:41" ht="15.75" customHeight="1" x14ac:dyDescent="0.25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7"/>
      <c r="AO431" s="57"/>
    </row>
    <row r="432" spans="1:41" ht="15.75" customHeight="1" x14ac:dyDescent="0.25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7"/>
      <c r="AO432" s="57"/>
    </row>
    <row r="433" spans="1:41" ht="15.75" customHeight="1" x14ac:dyDescent="0.25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7"/>
      <c r="AO433" s="57"/>
    </row>
    <row r="434" spans="1:41" ht="15.75" customHeight="1" x14ac:dyDescent="0.25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7"/>
      <c r="AO434" s="57"/>
    </row>
    <row r="435" spans="1:41" ht="15.75" customHeight="1" x14ac:dyDescent="0.2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7"/>
      <c r="AO435" s="57"/>
    </row>
    <row r="436" spans="1:41" ht="15.75" customHeight="1" x14ac:dyDescent="0.25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7"/>
      <c r="AO436" s="57"/>
    </row>
    <row r="437" spans="1:41" ht="15.75" customHeight="1" x14ac:dyDescent="0.25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7"/>
      <c r="AO437" s="57"/>
    </row>
    <row r="438" spans="1:41" ht="15.75" customHeight="1" x14ac:dyDescent="0.25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7"/>
      <c r="AO438" s="57"/>
    </row>
    <row r="439" spans="1:41" ht="15.75" customHeight="1" x14ac:dyDescent="0.25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7"/>
      <c r="AO439" s="57"/>
    </row>
    <row r="440" spans="1:41" ht="15.75" customHeight="1" x14ac:dyDescent="0.25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7"/>
      <c r="AO440" s="57"/>
    </row>
    <row r="441" spans="1:41" ht="15.75" customHeight="1" x14ac:dyDescent="0.25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7"/>
      <c r="AO441" s="57"/>
    </row>
    <row r="442" spans="1:41" ht="15.75" customHeight="1" x14ac:dyDescent="0.25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7"/>
      <c r="AO442" s="57"/>
    </row>
    <row r="443" spans="1:41" ht="15.75" customHeight="1" x14ac:dyDescent="0.25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7"/>
      <c r="AO443" s="57"/>
    </row>
    <row r="444" spans="1:41" ht="15.75" customHeight="1" x14ac:dyDescent="0.25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7"/>
      <c r="AO444" s="57"/>
    </row>
    <row r="445" spans="1:41" ht="15.75" customHeight="1" x14ac:dyDescent="0.2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7"/>
      <c r="AO445" s="57"/>
    </row>
    <row r="446" spans="1:41" ht="15.75" customHeight="1" x14ac:dyDescent="0.25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7"/>
      <c r="AO446" s="57"/>
    </row>
    <row r="447" spans="1:41" ht="15.75" customHeight="1" x14ac:dyDescent="0.25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7"/>
      <c r="AO447" s="57"/>
    </row>
    <row r="448" spans="1:41" ht="15.75" customHeight="1" x14ac:dyDescent="0.25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7"/>
      <c r="AO448" s="57"/>
    </row>
    <row r="449" spans="1:41" ht="15.75" customHeight="1" x14ac:dyDescent="0.25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7"/>
      <c r="AO449" s="57"/>
    </row>
    <row r="450" spans="1:41" ht="15.75" customHeight="1" x14ac:dyDescent="0.25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7"/>
      <c r="AO450" s="57"/>
    </row>
    <row r="451" spans="1:41" ht="15.75" customHeight="1" x14ac:dyDescent="0.25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7"/>
      <c r="AO451" s="57"/>
    </row>
    <row r="452" spans="1:41" ht="15.75" customHeight="1" x14ac:dyDescent="0.25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7"/>
      <c r="AO452" s="57"/>
    </row>
    <row r="453" spans="1:41" ht="15.75" customHeight="1" x14ac:dyDescent="0.25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7"/>
      <c r="AO453" s="57"/>
    </row>
    <row r="454" spans="1:41" ht="15.75" customHeight="1" x14ac:dyDescent="0.25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7"/>
      <c r="AO454" s="57"/>
    </row>
    <row r="455" spans="1:41" ht="15.75" customHeight="1" x14ac:dyDescent="0.2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7"/>
      <c r="AO455" s="57"/>
    </row>
    <row r="456" spans="1:41" ht="15.75" customHeight="1" x14ac:dyDescent="0.25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7"/>
      <c r="AO456" s="57"/>
    </row>
    <row r="457" spans="1:41" ht="15.75" customHeight="1" x14ac:dyDescent="0.25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7"/>
      <c r="AO457" s="57"/>
    </row>
    <row r="458" spans="1:41" ht="15.75" customHeight="1" x14ac:dyDescent="0.25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7"/>
      <c r="AO458" s="57"/>
    </row>
    <row r="459" spans="1:41" ht="15.75" customHeight="1" x14ac:dyDescent="0.25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7"/>
      <c r="AO459" s="57"/>
    </row>
    <row r="460" spans="1:41" ht="15.75" customHeight="1" x14ac:dyDescent="0.25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7"/>
      <c r="AO460" s="57"/>
    </row>
    <row r="461" spans="1:41" ht="15.75" customHeight="1" x14ac:dyDescent="0.25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7"/>
      <c r="AO461" s="57"/>
    </row>
    <row r="462" spans="1:41" ht="15.75" customHeight="1" x14ac:dyDescent="0.25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7"/>
      <c r="AO462" s="57"/>
    </row>
    <row r="463" spans="1:41" ht="15.75" customHeight="1" x14ac:dyDescent="0.25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7"/>
      <c r="AO463" s="57"/>
    </row>
    <row r="464" spans="1:41" ht="15.75" customHeight="1" x14ac:dyDescent="0.25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7"/>
      <c r="AO464" s="57"/>
    </row>
    <row r="465" spans="1:41" ht="15.75" customHeight="1" x14ac:dyDescent="0.2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7"/>
      <c r="AO465" s="57"/>
    </row>
    <row r="466" spans="1:41" ht="15.75" customHeight="1" x14ac:dyDescent="0.25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7"/>
      <c r="AO466" s="57"/>
    </row>
    <row r="467" spans="1:41" ht="15.75" customHeight="1" x14ac:dyDescent="0.25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7"/>
      <c r="AO467" s="57"/>
    </row>
    <row r="468" spans="1:41" ht="15.75" customHeight="1" x14ac:dyDescent="0.25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7"/>
      <c r="AO468" s="57"/>
    </row>
    <row r="469" spans="1:41" ht="15.75" customHeight="1" x14ac:dyDescent="0.25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7"/>
      <c r="AO469" s="57"/>
    </row>
    <row r="470" spans="1:41" ht="15.75" customHeight="1" x14ac:dyDescent="0.25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7"/>
      <c r="AO470" s="57"/>
    </row>
    <row r="471" spans="1:41" ht="15.75" customHeight="1" x14ac:dyDescent="0.25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7"/>
      <c r="AO471" s="57"/>
    </row>
    <row r="472" spans="1:41" ht="15.75" customHeight="1" x14ac:dyDescent="0.25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7"/>
      <c r="AO472" s="57"/>
    </row>
    <row r="473" spans="1:41" ht="15.75" customHeight="1" x14ac:dyDescent="0.25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7"/>
      <c r="AO473" s="57"/>
    </row>
    <row r="474" spans="1:41" ht="15.75" customHeight="1" x14ac:dyDescent="0.25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7"/>
      <c r="AO474" s="57"/>
    </row>
    <row r="475" spans="1:41" ht="15.75" customHeight="1" x14ac:dyDescent="0.2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7"/>
      <c r="AO475" s="57"/>
    </row>
    <row r="476" spans="1:41" ht="15.75" customHeight="1" x14ac:dyDescent="0.25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7"/>
      <c r="AO476" s="57"/>
    </row>
    <row r="477" spans="1:41" ht="15.75" customHeight="1" x14ac:dyDescent="0.25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7"/>
      <c r="AO477" s="57"/>
    </row>
    <row r="478" spans="1:41" ht="15.75" customHeight="1" x14ac:dyDescent="0.25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7"/>
      <c r="AO478" s="57"/>
    </row>
    <row r="479" spans="1:41" ht="15.75" customHeight="1" x14ac:dyDescent="0.25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7"/>
      <c r="AO479" s="57"/>
    </row>
    <row r="480" spans="1:41" ht="15.75" customHeight="1" x14ac:dyDescent="0.25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7"/>
      <c r="AO480" s="57"/>
    </row>
    <row r="481" spans="1:41" ht="15.75" customHeight="1" x14ac:dyDescent="0.25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7"/>
      <c r="AO481" s="57"/>
    </row>
    <row r="482" spans="1:41" ht="15.75" customHeight="1" x14ac:dyDescent="0.25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7"/>
      <c r="AO482" s="57"/>
    </row>
    <row r="483" spans="1:41" ht="15.75" customHeight="1" x14ac:dyDescent="0.25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7"/>
      <c r="AO483" s="57"/>
    </row>
    <row r="484" spans="1:41" ht="15.75" customHeight="1" x14ac:dyDescent="0.25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7"/>
      <c r="AO484" s="57"/>
    </row>
    <row r="485" spans="1:41" ht="15.75" customHeight="1" x14ac:dyDescent="0.2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7"/>
      <c r="AO485" s="57"/>
    </row>
    <row r="486" spans="1:41" ht="15.75" customHeight="1" x14ac:dyDescent="0.25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7"/>
      <c r="AO486" s="57"/>
    </row>
    <row r="487" spans="1:41" ht="15.75" customHeight="1" x14ac:dyDescent="0.25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7"/>
      <c r="AO487" s="57"/>
    </row>
    <row r="488" spans="1:41" ht="15.75" customHeight="1" x14ac:dyDescent="0.25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7"/>
      <c r="AO488" s="57"/>
    </row>
    <row r="489" spans="1:41" ht="15.75" customHeight="1" x14ac:dyDescent="0.25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7"/>
      <c r="AO489" s="57"/>
    </row>
    <row r="490" spans="1:41" ht="15.75" customHeight="1" x14ac:dyDescent="0.25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7"/>
      <c r="AO490" s="57"/>
    </row>
    <row r="491" spans="1:41" ht="15.75" customHeight="1" x14ac:dyDescent="0.25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7"/>
      <c r="AO491" s="57"/>
    </row>
    <row r="492" spans="1:41" ht="15.75" customHeight="1" x14ac:dyDescent="0.25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7"/>
      <c r="AO492" s="57"/>
    </row>
    <row r="493" spans="1:41" ht="15.75" customHeight="1" x14ac:dyDescent="0.25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7"/>
      <c r="AO493" s="57"/>
    </row>
    <row r="494" spans="1:41" ht="15.75" customHeight="1" x14ac:dyDescent="0.25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7"/>
      <c r="AO494" s="57"/>
    </row>
    <row r="495" spans="1:41" ht="15.75" customHeight="1" x14ac:dyDescent="0.2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7"/>
      <c r="AO495" s="57"/>
    </row>
    <row r="496" spans="1:41" ht="15.75" customHeight="1" x14ac:dyDescent="0.25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7"/>
      <c r="AO496" s="57"/>
    </row>
    <row r="497" spans="1:41" ht="15.75" customHeight="1" x14ac:dyDescent="0.25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7"/>
      <c r="AO497" s="57"/>
    </row>
    <row r="498" spans="1:41" ht="15.75" customHeight="1" x14ac:dyDescent="0.25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7"/>
      <c r="AO498" s="57"/>
    </row>
    <row r="499" spans="1:41" ht="15.75" customHeight="1" x14ac:dyDescent="0.25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7"/>
      <c r="AO499" s="57"/>
    </row>
    <row r="500" spans="1:41" ht="15.75" customHeight="1" x14ac:dyDescent="0.25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7"/>
      <c r="AO500" s="57"/>
    </row>
    <row r="501" spans="1:41" ht="15.75" customHeight="1" x14ac:dyDescent="0.25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7"/>
      <c r="AO501" s="57"/>
    </row>
    <row r="502" spans="1:41" ht="15.75" customHeight="1" x14ac:dyDescent="0.25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7"/>
      <c r="AO502" s="57"/>
    </row>
    <row r="503" spans="1:41" ht="15.75" customHeight="1" x14ac:dyDescent="0.25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7"/>
      <c r="AO503" s="57"/>
    </row>
    <row r="504" spans="1:41" ht="15.75" customHeight="1" x14ac:dyDescent="0.25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7"/>
      <c r="AO504" s="57"/>
    </row>
    <row r="505" spans="1:41" ht="15.75" customHeight="1" x14ac:dyDescent="0.2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7"/>
      <c r="AO505" s="57"/>
    </row>
    <row r="506" spans="1:41" ht="15.75" customHeight="1" x14ac:dyDescent="0.25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7"/>
      <c r="AO506" s="57"/>
    </row>
    <row r="507" spans="1:41" ht="15.75" customHeight="1" x14ac:dyDescent="0.25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7"/>
      <c r="AO507" s="57"/>
    </row>
    <row r="508" spans="1:41" ht="15.75" customHeight="1" x14ac:dyDescent="0.25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7"/>
      <c r="AO508" s="57"/>
    </row>
    <row r="509" spans="1:41" ht="15.75" customHeight="1" x14ac:dyDescent="0.25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7"/>
      <c r="AO509" s="57"/>
    </row>
    <row r="510" spans="1:41" ht="15.75" customHeight="1" x14ac:dyDescent="0.25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7"/>
      <c r="AO510" s="57"/>
    </row>
    <row r="511" spans="1:41" ht="15.75" customHeight="1" x14ac:dyDescent="0.25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7"/>
      <c r="AO511" s="57"/>
    </row>
    <row r="512" spans="1:41" ht="15.75" customHeight="1" x14ac:dyDescent="0.25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7"/>
      <c r="AO512" s="57"/>
    </row>
    <row r="513" spans="1:41" ht="15.75" customHeight="1" x14ac:dyDescent="0.25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7"/>
      <c r="AO513" s="57"/>
    </row>
    <row r="514" spans="1:41" ht="15.75" customHeight="1" x14ac:dyDescent="0.25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7"/>
      <c r="AO514" s="57"/>
    </row>
    <row r="515" spans="1:41" ht="15.75" customHeight="1" x14ac:dyDescent="0.2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7"/>
      <c r="AO515" s="57"/>
    </row>
    <row r="516" spans="1:41" ht="15.75" customHeight="1" x14ac:dyDescent="0.25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7"/>
      <c r="AO516" s="57"/>
    </row>
    <row r="517" spans="1:41" ht="15.75" customHeight="1" x14ac:dyDescent="0.25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7"/>
      <c r="AO517" s="57"/>
    </row>
    <row r="518" spans="1:41" ht="15.75" customHeight="1" x14ac:dyDescent="0.25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7"/>
      <c r="AO518" s="57"/>
    </row>
    <row r="519" spans="1:41" ht="15.75" customHeight="1" x14ac:dyDescent="0.25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7"/>
      <c r="AO519" s="57"/>
    </row>
    <row r="520" spans="1:41" ht="15.75" customHeight="1" x14ac:dyDescent="0.25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7"/>
      <c r="AO520" s="57"/>
    </row>
    <row r="521" spans="1:41" ht="15.75" customHeight="1" x14ac:dyDescent="0.25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7"/>
      <c r="AO521" s="57"/>
    </row>
    <row r="522" spans="1:41" ht="15.75" customHeight="1" x14ac:dyDescent="0.25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7"/>
      <c r="AO522" s="57"/>
    </row>
    <row r="523" spans="1:41" ht="15.75" customHeight="1" x14ac:dyDescent="0.25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7"/>
      <c r="AO523" s="57"/>
    </row>
    <row r="524" spans="1:41" ht="15.75" customHeight="1" x14ac:dyDescent="0.25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7"/>
      <c r="AO524" s="57"/>
    </row>
    <row r="525" spans="1:41" ht="15.75" customHeight="1" x14ac:dyDescent="0.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7"/>
      <c r="AO525" s="57"/>
    </row>
    <row r="526" spans="1:41" ht="15.75" customHeight="1" x14ac:dyDescent="0.25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7"/>
      <c r="AO526" s="57"/>
    </row>
    <row r="527" spans="1:41" ht="15.75" customHeight="1" x14ac:dyDescent="0.25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7"/>
      <c r="AO527" s="57"/>
    </row>
    <row r="528" spans="1:41" ht="15.75" customHeight="1" x14ac:dyDescent="0.25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7"/>
      <c r="AO528" s="57"/>
    </row>
    <row r="529" spans="1:41" ht="15.75" customHeight="1" x14ac:dyDescent="0.25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7"/>
      <c r="AO529" s="57"/>
    </row>
    <row r="530" spans="1:41" ht="15.75" customHeight="1" x14ac:dyDescent="0.25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7"/>
      <c r="AO530" s="57"/>
    </row>
    <row r="531" spans="1:41" ht="15.75" customHeight="1" x14ac:dyDescent="0.25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7"/>
      <c r="AO531" s="57"/>
    </row>
    <row r="532" spans="1:41" ht="15.75" customHeight="1" x14ac:dyDescent="0.25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7"/>
      <c r="AO532" s="57"/>
    </row>
    <row r="533" spans="1:41" ht="15.75" customHeight="1" x14ac:dyDescent="0.25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7"/>
      <c r="AO533" s="57"/>
    </row>
    <row r="534" spans="1:41" ht="15.75" customHeight="1" x14ac:dyDescent="0.25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7"/>
      <c r="AO534" s="57"/>
    </row>
    <row r="535" spans="1:41" ht="15.75" customHeight="1" x14ac:dyDescent="0.2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7"/>
      <c r="AO535" s="57"/>
    </row>
    <row r="536" spans="1:41" ht="15.75" customHeight="1" x14ac:dyDescent="0.25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7"/>
      <c r="AO536" s="57"/>
    </row>
    <row r="537" spans="1:41" ht="15.75" customHeight="1" x14ac:dyDescent="0.25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7"/>
      <c r="AO537" s="57"/>
    </row>
    <row r="538" spans="1:41" ht="15.75" customHeight="1" x14ac:dyDescent="0.25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7"/>
      <c r="AO538" s="57"/>
    </row>
    <row r="539" spans="1:41" ht="15.75" customHeight="1" x14ac:dyDescent="0.25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7"/>
      <c r="AO539" s="57"/>
    </row>
    <row r="540" spans="1:41" ht="15.75" customHeight="1" x14ac:dyDescent="0.25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7"/>
      <c r="AO540" s="57"/>
    </row>
    <row r="541" spans="1:41" ht="15.75" customHeight="1" x14ac:dyDescent="0.25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7"/>
      <c r="AO541" s="57"/>
    </row>
    <row r="542" spans="1:41" ht="15.75" customHeight="1" x14ac:dyDescent="0.25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7"/>
      <c r="AO542" s="57"/>
    </row>
    <row r="543" spans="1:41" ht="15.75" customHeight="1" x14ac:dyDescent="0.25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7"/>
      <c r="AO543" s="57"/>
    </row>
    <row r="544" spans="1:41" ht="15.75" customHeight="1" x14ac:dyDescent="0.25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7"/>
      <c r="AO544" s="57"/>
    </row>
    <row r="545" spans="1:41" ht="15.75" customHeight="1" x14ac:dyDescent="0.2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7"/>
      <c r="AO545" s="57"/>
    </row>
    <row r="546" spans="1:41" ht="15.75" customHeight="1" x14ac:dyDescent="0.25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7"/>
      <c r="AO546" s="57"/>
    </row>
    <row r="547" spans="1:41" ht="15.75" customHeight="1" x14ac:dyDescent="0.25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7"/>
      <c r="AO547" s="57"/>
    </row>
    <row r="548" spans="1:41" ht="15.75" customHeight="1" x14ac:dyDescent="0.25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7"/>
      <c r="AO548" s="57"/>
    </row>
    <row r="549" spans="1:41" ht="15.75" customHeight="1" x14ac:dyDescent="0.25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7"/>
      <c r="AO549" s="57"/>
    </row>
    <row r="550" spans="1:41" ht="15.75" customHeight="1" x14ac:dyDescent="0.25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7"/>
      <c r="AO550" s="57"/>
    </row>
    <row r="551" spans="1:41" ht="15.75" customHeight="1" x14ac:dyDescent="0.25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7"/>
      <c r="AO551" s="57"/>
    </row>
    <row r="552" spans="1:41" ht="15.75" customHeight="1" x14ac:dyDescent="0.25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7"/>
      <c r="AO552" s="57"/>
    </row>
    <row r="553" spans="1:41" ht="15.75" customHeight="1" x14ac:dyDescent="0.25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7"/>
      <c r="AO553" s="57"/>
    </row>
    <row r="554" spans="1:41" ht="15.75" customHeight="1" x14ac:dyDescent="0.25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7"/>
      <c r="AO554" s="57"/>
    </row>
    <row r="555" spans="1:41" ht="15.75" customHeight="1" x14ac:dyDescent="0.2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7"/>
      <c r="AO555" s="57"/>
    </row>
    <row r="556" spans="1:41" ht="15.75" customHeight="1" x14ac:dyDescent="0.25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7"/>
      <c r="AO556" s="57"/>
    </row>
    <row r="557" spans="1:41" ht="15.75" customHeight="1" x14ac:dyDescent="0.25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7"/>
      <c r="AO557" s="57"/>
    </row>
    <row r="558" spans="1:41" ht="15.75" customHeight="1" x14ac:dyDescent="0.25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7"/>
      <c r="AO558" s="57"/>
    </row>
    <row r="559" spans="1:41" ht="15.75" customHeight="1" x14ac:dyDescent="0.25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7"/>
      <c r="AO559" s="57"/>
    </row>
    <row r="560" spans="1:41" ht="15.75" customHeight="1" x14ac:dyDescent="0.25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7"/>
      <c r="AO560" s="57"/>
    </row>
    <row r="561" spans="1:41" ht="15.75" customHeight="1" x14ac:dyDescent="0.25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7"/>
      <c r="AO561" s="57"/>
    </row>
    <row r="562" spans="1:41" ht="15.75" customHeight="1" x14ac:dyDescent="0.25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7"/>
      <c r="AO562" s="57"/>
    </row>
    <row r="563" spans="1:41" ht="15.75" customHeight="1" x14ac:dyDescent="0.25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7"/>
      <c r="AO563" s="57"/>
    </row>
    <row r="564" spans="1:41" ht="15.75" customHeight="1" x14ac:dyDescent="0.25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7"/>
      <c r="AO564" s="57"/>
    </row>
    <row r="565" spans="1:41" ht="15.75" customHeight="1" x14ac:dyDescent="0.2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7"/>
      <c r="AO565" s="57"/>
    </row>
    <row r="566" spans="1:41" ht="15.75" customHeight="1" x14ac:dyDescent="0.25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7"/>
      <c r="AO566" s="57"/>
    </row>
    <row r="567" spans="1:41" ht="15.75" customHeight="1" x14ac:dyDescent="0.25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7"/>
      <c r="AO567" s="57"/>
    </row>
    <row r="568" spans="1:41" ht="15.75" customHeight="1" x14ac:dyDescent="0.25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7"/>
      <c r="AO568" s="57"/>
    </row>
    <row r="569" spans="1:41" ht="15.75" customHeight="1" x14ac:dyDescent="0.25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7"/>
      <c r="AO569" s="57"/>
    </row>
    <row r="570" spans="1:41" ht="15.75" customHeight="1" x14ac:dyDescent="0.25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7"/>
      <c r="AO570" s="57"/>
    </row>
    <row r="571" spans="1:41" ht="15.75" customHeight="1" x14ac:dyDescent="0.25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7"/>
      <c r="AO571" s="57"/>
    </row>
    <row r="572" spans="1:41" ht="15.75" customHeight="1" x14ac:dyDescent="0.25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7"/>
      <c r="AO572" s="57"/>
    </row>
    <row r="573" spans="1:41" ht="15.75" customHeight="1" x14ac:dyDescent="0.25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7"/>
      <c r="AO573" s="57"/>
    </row>
    <row r="574" spans="1:41" ht="15.75" customHeight="1" x14ac:dyDescent="0.25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7"/>
      <c r="AO574" s="57"/>
    </row>
    <row r="575" spans="1:41" ht="15.75" customHeight="1" x14ac:dyDescent="0.2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7"/>
      <c r="AO575" s="57"/>
    </row>
    <row r="576" spans="1:41" ht="15.75" customHeight="1" x14ac:dyDescent="0.25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7"/>
      <c r="AO576" s="57"/>
    </row>
    <row r="577" spans="1:41" ht="15.75" customHeight="1" x14ac:dyDescent="0.25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7"/>
      <c r="AO577" s="57"/>
    </row>
    <row r="578" spans="1:41" ht="15.75" customHeight="1" x14ac:dyDescent="0.25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7"/>
      <c r="AO578" s="57"/>
    </row>
    <row r="579" spans="1:41" ht="15.75" customHeight="1" x14ac:dyDescent="0.25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7"/>
      <c r="AO579" s="57"/>
    </row>
    <row r="580" spans="1:41" ht="15.75" customHeight="1" x14ac:dyDescent="0.25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7"/>
      <c r="AO580" s="57"/>
    </row>
    <row r="581" spans="1:41" ht="15.75" customHeight="1" x14ac:dyDescent="0.25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7"/>
      <c r="AO581" s="57"/>
    </row>
    <row r="582" spans="1:41" ht="15.75" customHeight="1" x14ac:dyDescent="0.25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7"/>
      <c r="AO582" s="57"/>
    </row>
    <row r="583" spans="1:41" ht="15.75" customHeight="1" x14ac:dyDescent="0.25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7"/>
      <c r="AO583" s="57"/>
    </row>
    <row r="584" spans="1:41" ht="15.75" customHeight="1" x14ac:dyDescent="0.25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7"/>
      <c r="AO584" s="57"/>
    </row>
    <row r="585" spans="1:41" ht="15.75" customHeight="1" x14ac:dyDescent="0.2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7"/>
      <c r="AO585" s="57"/>
    </row>
    <row r="586" spans="1:41" ht="15.75" customHeight="1" x14ac:dyDescent="0.25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7"/>
      <c r="AO586" s="57"/>
    </row>
    <row r="587" spans="1:41" ht="15.75" customHeight="1" x14ac:dyDescent="0.25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7"/>
      <c r="AO587" s="57"/>
    </row>
    <row r="588" spans="1:41" ht="15.75" customHeight="1" x14ac:dyDescent="0.25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7"/>
      <c r="AO588" s="57"/>
    </row>
    <row r="589" spans="1:41" ht="15.75" customHeight="1" x14ac:dyDescent="0.25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7"/>
      <c r="AO589" s="57"/>
    </row>
    <row r="590" spans="1:41" ht="15.75" customHeight="1" x14ac:dyDescent="0.25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7"/>
      <c r="AO590" s="57"/>
    </row>
    <row r="591" spans="1:41" ht="15.75" customHeight="1" x14ac:dyDescent="0.25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7"/>
      <c r="AO591" s="57"/>
    </row>
    <row r="592" spans="1:41" ht="15.75" customHeight="1" x14ac:dyDescent="0.25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7"/>
      <c r="AO592" s="57"/>
    </row>
    <row r="593" spans="1:41" ht="15.75" customHeight="1" x14ac:dyDescent="0.25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7"/>
      <c r="AO593" s="57"/>
    </row>
    <row r="594" spans="1:41" ht="15.75" customHeight="1" x14ac:dyDescent="0.25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7"/>
      <c r="AO594" s="57"/>
    </row>
    <row r="595" spans="1:41" ht="15.75" customHeight="1" x14ac:dyDescent="0.2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7"/>
      <c r="AO595" s="57"/>
    </row>
    <row r="596" spans="1:41" ht="15.75" customHeight="1" x14ac:dyDescent="0.25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7"/>
      <c r="AO596" s="57"/>
    </row>
    <row r="597" spans="1:41" ht="15.75" customHeight="1" x14ac:dyDescent="0.25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7"/>
      <c r="AO597" s="57"/>
    </row>
    <row r="598" spans="1:41" ht="15.75" customHeight="1" x14ac:dyDescent="0.25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7"/>
      <c r="AO598" s="57"/>
    </row>
    <row r="599" spans="1:41" ht="15.75" customHeight="1" x14ac:dyDescent="0.25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7"/>
      <c r="AO599" s="57"/>
    </row>
    <row r="600" spans="1:41" ht="15.75" customHeight="1" x14ac:dyDescent="0.25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7"/>
      <c r="AO600" s="57"/>
    </row>
    <row r="601" spans="1:41" ht="15.75" customHeight="1" x14ac:dyDescent="0.25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7"/>
      <c r="AO601" s="57"/>
    </row>
    <row r="602" spans="1:41" ht="15.75" customHeight="1" x14ac:dyDescent="0.25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7"/>
      <c r="AO602" s="57"/>
    </row>
    <row r="603" spans="1:41" ht="15.75" customHeight="1" x14ac:dyDescent="0.25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7"/>
      <c r="AO603" s="57"/>
    </row>
    <row r="604" spans="1:41" ht="15.75" customHeight="1" x14ac:dyDescent="0.25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7"/>
      <c r="AO604" s="57"/>
    </row>
    <row r="605" spans="1:41" ht="15.75" customHeight="1" x14ac:dyDescent="0.2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7"/>
      <c r="AO605" s="57"/>
    </row>
    <row r="606" spans="1:41" ht="15.75" customHeight="1" x14ac:dyDescent="0.25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7"/>
      <c r="AO606" s="57"/>
    </row>
    <row r="607" spans="1:41" ht="15.75" customHeight="1" x14ac:dyDescent="0.25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7"/>
      <c r="AO607" s="57"/>
    </row>
    <row r="608" spans="1:41" ht="15.75" customHeight="1" x14ac:dyDescent="0.25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7"/>
      <c r="AO608" s="57"/>
    </row>
    <row r="609" spans="1:41" ht="15.75" customHeight="1" x14ac:dyDescent="0.25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7"/>
      <c r="AO609" s="57"/>
    </row>
    <row r="610" spans="1:41" ht="15.75" customHeight="1" x14ac:dyDescent="0.25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7"/>
      <c r="AO610" s="57"/>
    </row>
    <row r="611" spans="1:41" ht="15.75" customHeight="1" x14ac:dyDescent="0.25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7"/>
      <c r="AO611" s="57"/>
    </row>
    <row r="612" spans="1:41" ht="15.75" customHeight="1" x14ac:dyDescent="0.25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7"/>
      <c r="AO612" s="57"/>
    </row>
    <row r="613" spans="1:41" ht="15.75" customHeight="1" x14ac:dyDescent="0.25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7"/>
      <c r="AO613" s="57"/>
    </row>
    <row r="614" spans="1:41" ht="15.75" customHeight="1" x14ac:dyDescent="0.25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7"/>
      <c r="AO614" s="57"/>
    </row>
    <row r="615" spans="1:41" ht="15.75" customHeight="1" x14ac:dyDescent="0.2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7"/>
      <c r="AO615" s="57"/>
    </row>
    <row r="616" spans="1:41" ht="15.75" customHeight="1" x14ac:dyDescent="0.25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7"/>
      <c r="AO616" s="57"/>
    </row>
    <row r="617" spans="1:41" ht="15.75" customHeight="1" x14ac:dyDescent="0.25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7"/>
      <c r="AO617" s="57"/>
    </row>
    <row r="618" spans="1:41" ht="15.75" customHeight="1" x14ac:dyDescent="0.25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7"/>
      <c r="AO618" s="57"/>
    </row>
    <row r="619" spans="1:41" ht="15.75" customHeight="1" x14ac:dyDescent="0.25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7"/>
      <c r="AO619" s="57"/>
    </row>
    <row r="620" spans="1:41" ht="15.75" customHeight="1" x14ac:dyDescent="0.25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7"/>
      <c r="AO620" s="57"/>
    </row>
    <row r="621" spans="1:41" ht="15.75" customHeight="1" x14ac:dyDescent="0.25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7"/>
      <c r="AO621" s="57"/>
    </row>
    <row r="622" spans="1:41" ht="15.75" customHeight="1" x14ac:dyDescent="0.25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7"/>
      <c r="AO622" s="57"/>
    </row>
    <row r="623" spans="1:41" ht="15.75" customHeight="1" x14ac:dyDescent="0.25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7"/>
      <c r="AO623" s="57"/>
    </row>
    <row r="624" spans="1:41" ht="15.75" customHeight="1" x14ac:dyDescent="0.25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7"/>
      <c r="AO624" s="57"/>
    </row>
    <row r="625" spans="1:41" ht="15.75" customHeight="1" x14ac:dyDescent="0.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7"/>
      <c r="AO625" s="57"/>
    </row>
    <row r="626" spans="1:41" ht="15.75" customHeight="1" x14ac:dyDescent="0.25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7"/>
      <c r="AO626" s="57"/>
    </row>
    <row r="627" spans="1:41" ht="15.75" customHeight="1" x14ac:dyDescent="0.25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7"/>
      <c r="AO627" s="57"/>
    </row>
    <row r="628" spans="1:41" ht="15.75" customHeight="1" x14ac:dyDescent="0.25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7"/>
      <c r="AO628" s="57"/>
    </row>
    <row r="629" spans="1:41" ht="15.75" customHeight="1" x14ac:dyDescent="0.25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7"/>
      <c r="AO629" s="57"/>
    </row>
    <row r="630" spans="1:41" ht="15.75" customHeight="1" x14ac:dyDescent="0.25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7"/>
      <c r="AO630" s="57"/>
    </row>
    <row r="631" spans="1:41" ht="15.75" customHeight="1" x14ac:dyDescent="0.25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7"/>
      <c r="AO631" s="57"/>
    </row>
    <row r="632" spans="1:41" ht="15.75" customHeight="1" x14ac:dyDescent="0.25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7"/>
      <c r="AO632" s="57"/>
    </row>
    <row r="633" spans="1:41" ht="15.75" customHeight="1" x14ac:dyDescent="0.25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7"/>
      <c r="AO633" s="57"/>
    </row>
    <row r="634" spans="1:41" ht="15.75" customHeight="1" x14ac:dyDescent="0.25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7"/>
      <c r="AO634" s="57"/>
    </row>
    <row r="635" spans="1:41" ht="15.75" customHeight="1" x14ac:dyDescent="0.2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7"/>
      <c r="AO635" s="57"/>
    </row>
    <row r="636" spans="1:41" ht="15.75" customHeight="1" x14ac:dyDescent="0.25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7"/>
      <c r="AO636" s="57"/>
    </row>
    <row r="637" spans="1:41" ht="15.75" customHeight="1" x14ac:dyDescent="0.25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7"/>
      <c r="AO637" s="57"/>
    </row>
    <row r="638" spans="1:41" ht="15.75" customHeight="1" x14ac:dyDescent="0.25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7"/>
      <c r="AO638" s="57"/>
    </row>
    <row r="639" spans="1:41" ht="15.75" customHeight="1" x14ac:dyDescent="0.25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7"/>
      <c r="AO639" s="57"/>
    </row>
    <row r="640" spans="1:41" ht="15.75" customHeight="1" x14ac:dyDescent="0.25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7"/>
      <c r="AO640" s="57"/>
    </row>
    <row r="641" spans="1:41" ht="15.75" customHeight="1" x14ac:dyDescent="0.25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7"/>
      <c r="AO641" s="57"/>
    </row>
    <row r="642" spans="1:41" ht="15.75" customHeight="1" x14ac:dyDescent="0.25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7"/>
      <c r="AO642" s="57"/>
    </row>
    <row r="643" spans="1:41" ht="15.75" customHeight="1" x14ac:dyDescent="0.25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7"/>
      <c r="AO643" s="57"/>
    </row>
    <row r="644" spans="1:41" ht="15.75" customHeight="1" x14ac:dyDescent="0.25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7"/>
      <c r="AO644" s="57"/>
    </row>
    <row r="645" spans="1:41" ht="15.75" customHeight="1" x14ac:dyDescent="0.2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7"/>
      <c r="AO645" s="57"/>
    </row>
    <row r="646" spans="1:41" ht="15.75" customHeight="1" x14ac:dyDescent="0.25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7"/>
      <c r="AO646" s="57"/>
    </row>
    <row r="647" spans="1:41" ht="15.75" customHeight="1" x14ac:dyDescent="0.25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7"/>
      <c r="AO647" s="57"/>
    </row>
    <row r="648" spans="1:41" ht="15.75" customHeight="1" x14ac:dyDescent="0.25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7"/>
      <c r="AO648" s="57"/>
    </row>
    <row r="649" spans="1:41" ht="15.75" customHeight="1" x14ac:dyDescent="0.25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7"/>
      <c r="AO649" s="57"/>
    </row>
    <row r="650" spans="1:41" ht="15.75" customHeight="1" x14ac:dyDescent="0.25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7"/>
      <c r="AO650" s="57"/>
    </row>
    <row r="651" spans="1:41" ht="15.75" customHeight="1" x14ac:dyDescent="0.25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7"/>
      <c r="AO651" s="57"/>
    </row>
    <row r="652" spans="1:41" ht="15.75" customHeight="1" x14ac:dyDescent="0.25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7"/>
      <c r="AO652" s="57"/>
    </row>
    <row r="653" spans="1:41" ht="15.75" customHeight="1" x14ac:dyDescent="0.25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7"/>
      <c r="AO653" s="57"/>
    </row>
    <row r="654" spans="1:41" ht="15.75" customHeight="1" x14ac:dyDescent="0.25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7"/>
      <c r="AO654" s="57"/>
    </row>
    <row r="655" spans="1:41" ht="15.75" customHeight="1" x14ac:dyDescent="0.2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7"/>
      <c r="AO655" s="57"/>
    </row>
    <row r="656" spans="1:41" ht="15.75" customHeight="1" x14ac:dyDescent="0.25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7"/>
      <c r="AO656" s="57"/>
    </row>
    <row r="657" spans="1:41" ht="15.75" customHeight="1" x14ac:dyDescent="0.25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7"/>
      <c r="AO657" s="57"/>
    </row>
    <row r="658" spans="1:41" ht="15.75" customHeight="1" x14ac:dyDescent="0.25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7"/>
      <c r="AO658" s="57"/>
    </row>
    <row r="659" spans="1:41" ht="15.75" customHeight="1" x14ac:dyDescent="0.25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7"/>
      <c r="AO659" s="57"/>
    </row>
    <row r="660" spans="1:41" ht="15.75" customHeight="1" x14ac:dyDescent="0.25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7"/>
      <c r="AO660" s="57"/>
    </row>
    <row r="661" spans="1:41" ht="15.75" customHeight="1" x14ac:dyDescent="0.25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7"/>
      <c r="AO661" s="57"/>
    </row>
    <row r="662" spans="1:41" ht="15.75" customHeight="1" x14ac:dyDescent="0.25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7"/>
      <c r="AO662" s="57"/>
    </row>
    <row r="663" spans="1:41" ht="15.75" customHeight="1" x14ac:dyDescent="0.25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7"/>
      <c r="AO663" s="57"/>
    </row>
    <row r="664" spans="1:41" ht="15.75" customHeight="1" x14ac:dyDescent="0.25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7"/>
      <c r="AO664" s="57"/>
    </row>
    <row r="665" spans="1:41" ht="15.75" customHeight="1" x14ac:dyDescent="0.2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7"/>
      <c r="AO665" s="57"/>
    </row>
    <row r="666" spans="1:41" ht="15.75" customHeight="1" x14ac:dyDescent="0.25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7"/>
      <c r="AO666" s="57"/>
    </row>
    <row r="667" spans="1:41" ht="15.75" customHeight="1" x14ac:dyDescent="0.25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7"/>
      <c r="AO667" s="57"/>
    </row>
    <row r="668" spans="1:41" ht="15.75" customHeight="1" x14ac:dyDescent="0.25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7"/>
      <c r="AO668" s="57"/>
    </row>
    <row r="669" spans="1:41" ht="15.75" customHeight="1" x14ac:dyDescent="0.25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7"/>
      <c r="AO669" s="57"/>
    </row>
    <row r="670" spans="1:41" ht="15.75" customHeight="1" x14ac:dyDescent="0.25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7"/>
      <c r="AO670" s="57"/>
    </row>
    <row r="671" spans="1:41" ht="15.75" customHeight="1" x14ac:dyDescent="0.25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7"/>
      <c r="AO671" s="57"/>
    </row>
    <row r="672" spans="1:41" ht="15.75" customHeight="1" x14ac:dyDescent="0.25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7"/>
      <c r="AO672" s="57"/>
    </row>
    <row r="673" spans="1:41" ht="15.75" customHeight="1" x14ac:dyDescent="0.25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7"/>
      <c r="AO673" s="57"/>
    </row>
    <row r="674" spans="1:41" ht="15.75" customHeight="1" x14ac:dyDescent="0.25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7"/>
      <c r="AO674" s="57"/>
    </row>
    <row r="675" spans="1:41" ht="15.75" customHeight="1" x14ac:dyDescent="0.2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7"/>
      <c r="AO675" s="57"/>
    </row>
    <row r="676" spans="1:41" ht="15.75" customHeight="1" x14ac:dyDescent="0.25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7"/>
      <c r="AO676" s="57"/>
    </row>
    <row r="677" spans="1:41" ht="15.75" customHeight="1" x14ac:dyDescent="0.25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7"/>
      <c r="AO677" s="57"/>
    </row>
    <row r="678" spans="1:41" ht="15.75" customHeight="1" x14ac:dyDescent="0.25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7"/>
      <c r="AO678" s="57"/>
    </row>
    <row r="679" spans="1:41" ht="15.75" customHeight="1" x14ac:dyDescent="0.25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7"/>
      <c r="AO679" s="57"/>
    </row>
    <row r="680" spans="1:41" ht="15.75" customHeight="1" x14ac:dyDescent="0.25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7"/>
      <c r="AO680" s="57"/>
    </row>
    <row r="681" spans="1:41" ht="15.75" customHeight="1" x14ac:dyDescent="0.25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7"/>
      <c r="AO681" s="57"/>
    </row>
    <row r="682" spans="1:41" ht="15.75" customHeight="1" x14ac:dyDescent="0.25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7"/>
      <c r="AO682" s="57"/>
    </row>
    <row r="683" spans="1:41" ht="15.75" customHeight="1" x14ac:dyDescent="0.25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7"/>
      <c r="AO683" s="57"/>
    </row>
    <row r="684" spans="1:41" ht="15.75" customHeight="1" x14ac:dyDescent="0.25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7"/>
      <c r="AO684" s="57"/>
    </row>
    <row r="685" spans="1:41" ht="15.75" customHeight="1" x14ac:dyDescent="0.2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7"/>
      <c r="AO685" s="57"/>
    </row>
    <row r="686" spans="1:41" ht="15.75" customHeight="1" x14ac:dyDescent="0.25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7"/>
      <c r="AO686" s="57"/>
    </row>
    <row r="687" spans="1:41" ht="15.75" customHeight="1" x14ac:dyDescent="0.25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7"/>
      <c r="AO687" s="57"/>
    </row>
    <row r="688" spans="1:41" ht="15.75" customHeight="1" x14ac:dyDescent="0.25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7"/>
      <c r="AO688" s="57"/>
    </row>
    <row r="689" spans="1:41" ht="15.75" customHeight="1" x14ac:dyDescent="0.25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7"/>
      <c r="AO689" s="57"/>
    </row>
    <row r="690" spans="1:41" ht="15.75" customHeight="1" x14ac:dyDescent="0.25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7"/>
      <c r="AO690" s="57"/>
    </row>
    <row r="691" spans="1:41" ht="15.75" customHeight="1" x14ac:dyDescent="0.25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7"/>
      <c r="AO691" s="57"/>
    </row>
    <row r="692" spans="1:41" ht="15.75" customHeight="1" x14ac:dyDescent="0.25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7"/>
      <c r="AO692" s="57"/>
    </row>
    <row r="693" spans="1:41" ht="15.75" customHeight="1" x14ac:dyDescent="0.25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7"/>
      <c r="AO693" s="57"/>
    </row>
    <row r="694" spans="1:41" ht="15.75" customHeight="1" x14ac:dyDescent="0.25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7"/>
      <c r="AO694" s="57"/>
    </row>
    <row r="695" spans="1:41" ht="15.75" customHeight="1" x14ac:dyDescent="0.2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7"/>
      <c r="AO695" s="57"/>
    </row>
    <row r="696" spans="1:41" ht="15.75" customHeight="1" x14ac:dyDescent="0.25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7"/>
      <c r="AO696" s="57"/>
    </row>
    <row r="697" spans="1:41" ht="15.75" customHeight="1" x14ac:dyDescent="0.25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7"/>
      <c r="AO697" s="57"/>
    </row>
    <row r="698" spans="1:41" ht="15.75" customHeight="1" x14ac:dyDescent="0.25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7"/>
      <c r="AO698" s="57"/>
    </row>
    <row r="699" spans="1:41" ht="15.75" customHeight="1" x14ac:dyDescent="0.25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7"/>
      <c r="AO699" s="57"/>
    </row>
    <row r="700" spans="1:41" ht="15.75" customHeight="1" x14ac:dyDescent="0.25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7"/>
      <c r="AO700" s="57"/>
    </row>
    <row r="701" spans="1:41" ht="15.75" customHeight="1" x14ac:dyDescent="0.25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7"/>
      <c r="AO701" s="57"/>
    </row>
    <row r="702" spans="1:41" ht="15.75" customHeight="1" x14ac:dyDescent="0.25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7"/>
      <c r="AO702" s="57"/>
    </row>
    <row r="703" spans="1:41" ht="15.75" customHeight="1" x14ac:dyDescent="0.25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7"/>
      <c r="AO703" s="57"/>
    </row>
    <row r="704" spans="1:41" ht="15.75" customHeight="1" x14ac:dyDescent="0.25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7"/>
      <c r="AO704" s="57"/>
    </row>
    <row r="705" spans="1:41" ht="15.75" customHeight="1" x14ac:dyDescent="0.2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7"/>
      <c r="AO705" s="57"/>
    </row>
    <row r="706" spans="1:41" ht="15.75" customHeight="1" x14ac:dyDescent="0.25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7"/>
      <c r="AO706" s="57"/>
    </row>
    <row r="707" spans="1:41" ht="15.75" customHeight="1" x14ac:dyDescent="0.25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7"/>
      <c r="AO707" s="57"/>
    </row>
    <row r="708" spans="1:41" ht="15.75" customHeight="1" x14ac:dyDescent="0.25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7"/>
      <c r="AO708" s="57"/>
    </row>
    <row r="709" spans="1:41" ht="15.75" customHeight="1" x14ac:dyDescent="0.25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7"/>
      <c r="AO709" s="57"/>
    </row>
    <row r="710" spans="1:41" ht="15.75" customHeight="1" x14ac:dyDescent="0.25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7"/>
      <c r="AO710" s="57"/>
    </row>
    <row r="711" spans="1:41" ht="15.75" customHeight="1" x14ac:dyDescent="0.25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7"/>
      <c r="AO711" s="57"/>
    </row>
    <row r="712" spans="1:41" ht="15.75" customHeight="1" x14ac:dyDescent="0.25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7"/>
      <c r="AO712" s="57"/>
    </row>
    <row r="713" spans="1:41" ht="15.75" customHeight="1" x14ac:dyDescent="0.25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7"/>
      <c r="AO713" s="57"/>
    </row>
    <row r="714" spans="1:41" ht="15.75" customHeight="1" x14ac:dyDescent="0.25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7"/>
      <c r="AO714" s="57"/>
    </row>
    <row r="715" spans="1:41" ht="15.75" customHeight="1" x14ac:dyDescent="0.2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7"/>
      <c r="AO715" s="57"/>
    </row>
    <row r="716" spans="1:41" ht="15.75" customHeight="1" x14ac:dyDescent="0.25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7"/>
      <c r="AO716" s="57"/>
    </row>
    <row r="717" spans="1:41" ht="15.75" customHeight="1" x14ac:dyDescent="0.25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7"/>
      <c r="AO717" s="57"/>
    </row>
    <row r="718" spans="1:41" ht="15.75" customHeight="1" x14ac:dyDescent="0.25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7"/>
      <c r="AO718" s="57"/>
    </row>
    <row r="719" spans="1:41" ht="15.75" customHeight="1" x14ac:dyDescent="0.25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7"/>
      <c r="AO719" s="57"/>
    </row>
    <row r="720" spans="1:41" ht="15.75" customHeight="1" x14ac:dyDescent="0.25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7"/>
      <c r="AO720" s="57"/>
    </row>
    <row r="721" spans="1:41" ht="15.75" customHeight="1" x14ac:dyDescent="0.25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7"/>
      <c r="AO721" s="57"/>
    </row>
    <row r="722" spans="1:41" ht="15.75" customHeight="1" x14ac:dyDescent="0.25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7"/>
      <c r="AO722" s="57"/>
    </row>
    <row r="723" spans="1:41" ht="15.75" customHeight="1" x14ac:dyDescent="0.25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7"/>
      <c r="AO723" s="57"/>
    </row>
    <row r="724" spans="1:41" ht="15.75" customHeight="1" x14ac:dyDescent="0.25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7"/>
      <c r="AO724" s="57"/>
    </row>
    <row r="725" spans="1:41" ht="15.75" customHeight="1" x14ac:dyDescent="0.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7"/>
      <c r="AO725" s="57"/>
    </row>
    <row r="726" spans="1:41" ht="15.75" customHeight="1" x14ac:dyDescent="0.25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7"/>
      <c r="AO726" s="57"/>
    </row>
    <row r="727" spans="1:41" ht="15.75" customHeight="1" x14ac:dyDescent="0.25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7"/>
      <c r="AO727" s="57"/>
    </row>
    <row r="728" spans="1:41" ht="15.75" customHeight="1" x14ac:dyDescent="0.25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7"/>
      <c r="AO728" s="57"/>
    </row>
    <row r="729" spans="1:41" ht="15.75" customHeight="1" x14ac:dyDescent="0.25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7"/>
      <c r="AO729" s="57"/>
    </row>
    <row r="730" spans="1:41" ht="15.75" customHeight="1" x14ac:dyDescent="0.25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7"/>
      <c r="AO730" s="57"/>
    </row>
    <row r="731" spans="1:41" ht="15.75" customHeight="1" x14ac:dyDescent="0.25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7"/>
      <c r="AO731" s="57"/>
    </row>
    <row r="732" spans="1:41" ht="15.75" customHeight="1" x14ac:dyDescent="0.25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7"/>
      <c r="AO732" s="57"/>
    </row>
    <row r="733" spans="1:41" ht="15.75" customHeight="1" x14ac:dyDescent="0.25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7"/>
      <c r="AO733" s="57"/>
    </row>
    <row r="734" spans="1:41" ht="15.75" customHeight="1" x14ac:dyDescent="0.25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7"/>
      <c r="AO734" s="57"/>
    </row>
    <row r="735" spans="1:41" ht="15.75" customHeight="1" x14ac:dyDescent="0.2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7"/>
      <c r="AO735" s="57"/>
    </row>
    <row r="736" spans="1:41" ht="15.75" customHeight="1" x14ac:dyDescent="0.25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7"/>
      <c r="AO736" s="57"/>
    </row>
    <row r="737" spans="1:41" ht="15.75" customHeight="1" x14ac:dyDescent="0.25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7"/>
      <c r="AO737" s="57"/>
    </row>
    <row r="738" spans="1:41" ht="15.75" customHeight="1" x14ac:dyDescent="0.25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7"/>
      <c r="AO738" s="57"/>
    </row>
    <row r="739" spans="1:41" ht="15.75" customHeight="1" x14ac:dyDescent="0.25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7"/>
      <c r="AO739" s="57"/>
    </row>
    <row r="740" spans="1:41" ht="15.75" customHeight="1" x14ac:dyDescent="0.25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7"/>
      <c r="AO740" s="57"/>
    </row>
    <row r="741" spans="1:41" ht="15.75" customHeight="1" x14ac:dyDescent="0.25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7"/>
      <c r="AO741" s="57"/>
    </row>
    <row r="742" spans="1:41" ht="15.75" customHeight="1" x14ac:dyDescent="0.25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7"/>
      <c r="AO742" s="57"/>
    </row>
    <row r="743" spans="1:41" ht="15.75" customHeight="1" x14ac:dyDescent="0.25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7"/>
      <c r="AO743" s="57"/>
    </row>
    <row r="744" spans="1:41" ht="15.75" customHeight="1" x14ac:dyDescent="0.25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7"/>
      <c r="AO744" s="57"/>
    </row>
    <row r="745" spans="1:41" ht="15.75" customHeight="1" x14ac:dyDescent="0.2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7"/>
      <c r="AO745" s="57"/>
    </row>
    <row r="746" spans="1:41" ht="15.75" customHeight="1" x14ac:dyDescent="0.25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7"/>
      <c r="AO746" s="57"/>
    </row>
    <row r="747" spans="1:41" ht="15.75" customHeight="1" x14ac:dyDescent="0.25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7"/>
      <c r="AO747" s="57"/>
    </row>
    <row r="748" spans="1:41" ht="15.75" customHeight="1" x14ac:dyDescent="0.25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7"/>
      <c r="AO748" s="57"/>
    </row>
    <row r="749" spans="1:41" ht="15.75" customHeight="1" x14ac:dyDescent="0.25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7"/>
      <c r="AO749" s="57"/>
    </row>
    <row r="750" spans="1:41" ht="15.75" customHeight="1" x14ac:dyDescent="0.25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7"/>
      <c r="AO750" s="57"/>
    </row>
    <row r="751" spans="1:41" ht="15.75" customHeight="1" x14ac:dyDescent="0.25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7"/>
      <c r="AO751" s="57"/>
    </row>
    <row r="752" spans="1:41" ht="15.75" customHeight="1" x14ac:dyDescent="0.25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7"/>
      <c r="AO752" s="57"/>
    </row>
    <row r="753" spans="1:41" ht="15.75" customHeight="1" x14ac:dyDescent="0.25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7"/>
      <c r="AO753" s="57"/>
    </row>
    <row r="754" spans="1:41" ht="15.75" customHeight="1" x14ac:dyDescent="0.25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7"/>
      <c r="AO754" s="57"/>
    </row>
    <row r="755" spans="1:41" ht="15.75" customHeight="1" x14ac:dyDescent="0.2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7"/>
      <c r="AO755" s="57"/>
    </row>
    <row r="756" spans="1:41" ht="15.75" customHeight="1" x14ac:dyDescent="0.25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7"/>
      <c r="AO756" s="57"/>
    </row>
    <row r="757" spans="1:41" ht="15.75" customHeight="1" x14ac:dyDescent="0.25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7"/>
      <c r="AO757" s="57"/>
    </row>
    <row r="758" spans="1:41" ht="15.75" customHeight="1" x14ac:dyDescent="0.25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7"/>
      <c r="AO758" s="57"/>
    </row>
    <row r="759" spans="1:41" ht="15.75" customHeight="1" x14ac:dyDescent="0.25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7"/>
      <c r="AO759" s="57"/>
    </row>
    <row r="760" spans="1:41" ht="15.75" customHeight="1" x14ac:dyDescent="0.25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7"/>
      <c r="AO760" s="57"/>
    </row>
    <row r="761" spans="1:41" ht="15.75" customHeight="1" x14ac:dyDescent="0.25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7"/>
      <c r="AO761" s="57"/>
    </row>
    <row r="762" spans="1:41" ht="15.75" customHeight="1" x14ac:dyDescent="0.25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7"/>
      <c r="AO762" s="57"/>
    </row>
    <row r="763" spans="1:41" ht="15.75" customHeight="1" x14ac:dyDescent="0.25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7"/>
      <c r="AO763" s="57"/>
    </row>
    <row r="764" spans="1:41" ht="15.75" customHeight="1" x14ac:dyDescent="0.25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7"/>
      <c r="AO764" s="57"/>
    </row>
    <row r="765" spans="1:41" ht="15.75" customHeight="1" x14ac:dyDescent="0.2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7"/>
      <c r="AO765" s="57"/>
    </row>
    <row r="766" spans="1:41" ht="15.75" customHeight="1" x14ac:dyDescent="0.25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7"/>
      <c r="AO766" s="57"/>
    </row>
    <row r="767" spans="1:41" ht="15.75" customHeight="1" x14ac:dyDescent="0.25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7"/>
      <c r="AO767" s="57"/>
    </row>
    <row r="768" spans="1:41" ht="15.75" customHeight="1" x14ac:dyDescent="0.25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7"/>
      <c r="AO768" s="57"/>
    </row>
    <row r="769" spans="1:41" ht="15.75" customHeight="1" x14ac:dyDescent="0.25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7"/>
      <c r="AO769" s="57"/>
    </row>
    <row r="770" spans="1:41" ht="15.75" customHeight="1" x14ac:dyDescent="0.25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7"/>
      <c r="AO770" s="57"/>
    </row>
    <row r="771" spans="1:41" ht="15.75" customHeight="1" x14ac:dyDescent="0.25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7"/>
      <c r="AO771" s="57"/>
    </row>
    <row r="772" spans="1:41" ht="15.75" customHeight="1" x14ac:dyDescent="0.25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7"/>
      <c r="AO772" s="57"/>
    </row>
    <row r="773" spans="1:41" ht="15.75" customHeight="1" x14ac:dyDescent="0.25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7"/>
      <c r="AO773" s="57"/>
    </row>
    <row r="774" spans="1:41" ht="15.75" customHeight="1" x14ac:dyDescent="0.25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7"/>
      <c r="AO774" s="57"/>
    </row>
    <row r="775" spans="1:41" ht="15.75" customHeight="1" x14ac:dyDescent="0.2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7"/>
      <c r="AO775" s="57"/>
    </row>
    <row r="776" spans="1:41" ht="15.75" customHeight="1" x14ac:dyDescent="0.25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7"/>
      <c r="AO776" s="57"/>
    </row>
    <row r="777" spans="1:41" ht="15.75" customHeight="1" x14ac:dyDescent="0.25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7"/>
      <c r="AO777" s="57"/>
    </row>
    <row r="778" spans="1:41" ht="15.75" customHeight="1" x14ac:dyDescent="0.25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7"/>
      <c r="AO778" s="57"/>
    </row>
    <row r="779" spans="1:41" ht="15.75" customHeight="1" x14ac:dyDescent="0.25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7"/>
      <c r="AO779" s="57"/>
    </row>
    <row r="780" spans="1:41" ht="15.75" customHeight="1" x14ac:dyDescent="0.25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7"/>
      <c r="AO780" s="57"/>
    </row>
    <row r="781" spans="1:41" ht="15.75" customHeight="1" x14ac:dyDescent="0.25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7"/>
      <c r="AO781" s="57"/>
    </row>
    <row r="782" spans="1:41" ht="15.75" customHeight="1" x14ac:dyDescent="0.25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7"/>
      <c r="AO782" s="57"/>
    </row>
    <row r="783" spans="1:41" ht="15.75" customHeight="1" x14ac:dyDescent="0.25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7"/>
      <c r="AO783" s="57"/>
    </row>
    <row r="784" spans="1:41" ht="15.75" customHeight="1" x14ac:dyDescent="0.25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7"/>
      <c r="AO784" s="57"/>
    </row>
    <row r="785" spans="1:41" ht="15.75" customHeight="1" x14ac:dyDescent="0.2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7"/>
      <c r="AO785" s="57"/>
    </row>
    <row r="786" spans="1:41" ht="15.75" customHeight="1" x14ac:dyDescent="0.25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7"/>
      <c r="AO786" s="57"/>
    </row>
    <row r="787" spans="1:41" ht="15.75" customHeight="1" x14ac:dyDescent="0.25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7"/>
      <c r="AO787" s="57"/>
    </row>
    <row r="788" spans="1:41" ht="15.75" customHeight="1" x14ac:dyDescent="0.25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7"/>
      <c r="AO788" s="57"/>
    </row>
    <row r="789" spans="1:41" ht="15.75" customHeight="1" x14ac:dyDescent="0.25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7"/>
      <c r="AO789" s="57"/>
    </row>
    <row r="790" spans="1:41" ht="15.75" customHeight="1" x14ac:dyDescent="0.25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7"/>
      <c r="AO790" s="57"/>
    </row>
    <row r="791" spans="1:41" ht="15.75" customHeight="1" x14ac:dyDescent="0.25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7"/>
      <c r="AO791" s="57"/>
    </row>
    <row r="792" spans="1:41" ht="15.75" customHeight="1" x14ac:dyDescent="0.25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7"/>
      <c r="AO792" s="57"/>
    </row>
    <row r="793" spans="1:41" ht="15.75" customHeight="1" x14ac:dyDescent="0.25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7"/>
      <c r="AO793" s="57"/>
    </row>
    <row r="794" spans="1:41" ht="15.75" customHeight="1" x14ac:dyDescent="0.25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7"/>
      <c r="AO794" s="57"/>
    </row>
    <row r="795" spans="1:41" ht="15.75" customHeight="1" x14ac:dyDescent="0.2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7"/>
      <c r="AO795" s="57"/>
    </row>
    <row r="796" spans="1:41" ht="15.75" customHeight="1" x14ac:dyDescent="0.25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7"/>
      <c r="AO796" s="57"/>
    </row>
    <row r="797" spans="1:41" ht="15.75" customHeight="1" x14ac:dyDescent="0.25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7"/>
      <c r="AO797" s="57"/>
    </row>
    <row r="798" spans="1:41" ht="15.75" customHeight="1" x14ac:dyDescent="0.25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7"/>
      <c r="AO798" s="57"/>
    </row>
    <row r="799" spans="1:41" ht="15.75" customHeight="1" x14ac:dyDescent="0.25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7"/>
      <c r="AO799" s="57"/>
    </row>
    <row r="800" spans="1:41" ht="15.75" customHeight="1" x14ac:dyDescent="0.25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7"/>
      <c r="AO800" s="57"/>
    </row>
    <row r="801" spans="1:41" ht="15.75" customHeight="1" x14ac:dyDescent="0.25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7"/>
      <c r="AO801" s="57"/>
    </row>
    <row r="802" spans="1:41" ht="15.75" customHeight="1" x14ac:dyDescent="0.25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7"/>
      <c r="AO802" s="57"/>
    </row>
    <row r="803" spans="1:41" ht="15.75" customHeight="1" x14ac:dyDescent="0.25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7"/>
      <c r="AO803" s="57"/>
    </row>
    <row r="804" spans="1:41" ht="15.75" customHeight="1" x14ac:dyDescent="0.25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7"/>
      <c r="AO804" s="57"/>
    </row>
    <row r="805" spans="1:41" ht="15.75" customHeight="1" x14ac:dyDescent="0.2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7"/>
      <c r="AO805" s="57"/>
    </row>
    <row r="806" spans="1:41" ht="15.75" customHeight="1" x14ac:dyDescent="0.25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7"/>
      <c r="AO806" s="57"/>
    </row>
    <row r="807" spans="1:41" ht="15.75" customHeight="1" x14ac:dyDescent="0.25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7"/>
      <c r="AO807" s="57"/>
    </row>
    <row r="808" spans="1:41" ht="15.75" customHeight="1" x14ac:dyDescent="0.25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7"/>
      <c r="AO808" s="57"/>
    </row>
    <row r="809" spans="1:41" ht="15.75" customHeight="1" x14ac:dyDescent="0.25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7"/>
      <c r="AO809" s="57"/>
    </row>
    <row r="810" spans="1:41" ht="15.75" customHeight="1" x14ac:dyDescent="0.25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7"/>
      <c r="AO810" s="57"/>
    </row>
    <row r="811" spans="1:41" ht="15.75" customHeight="1" x14ac:dyDescent="0.25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7"/>
      <c r="AO811" s="57"/>
    </row>
    <row r="812" spans="1:41" ht="15.75" customHeight="1" x14ac:dyDescent="0.25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7"/>
      <c r="AO812" s="57"/>
    </row>
    <row r="813" spans="1:41" ht="15.75" customHeight="1" x14ac:dyDescent="0.25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7"/>
      <c r="AO813" s="57"/>
    </row>
    <row r="814" spans="1:41" ht="15.75" customHeight="1" x14ac:dyDescent="0.25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7"/>
      <c r="AO814" s="57"/>
    </row>
    <row r="815" spans="1:41" ht="15.75" customHeight="1" x14ac:dyDescent="0.2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7"/>
      <c r="AO815" s="57"/>
    </row>
    <row r="816" spans="1:41" ht="15.75" customHeight="1" x14ac:dyDescent="0.25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7"/>
      <c r="AO816" s="57"/>
    </row>
    <row r="817" spans="1:41" ht="15.75" customHeight="1" x14ac:dyDescent="0.25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7"/>
      <c r="AO817" s="57"/>
    </row>
    <row r="818" spans="1:41" ht="15.75" customHeight="1" x14ac:dyDescent="0.25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7"/>
      <c r="AO818" s="57"/>
    </row>
    <row r="819" spans="1:41" ht="15.75" customHeight="1" x14ac:dyDescent="0.25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7"/>
      <c r="AO819" s="57"/>
    </row>
    <row r="820" spans="1:41" ht="15.75" customHeight="1" x14ac:dyDescent="0.25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7"/>
      <c r="AO820" s="57"/>
    </row>
    <row r="821" spans="1:41" ht="15.75" customHeight="1" x14ac:dyDescent="0.25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7"/>
      <c r="AO821" s="57"/>
    </row>
    <row r="822" spans="1:41" ht="15.75" customHeight="1" x14ac:dyDescent="0.25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7"/>
      <c r="AO822" s="57"/>
    </row>
    <row r="823" spans="1:41" ht="15.75" customHeight="1" x14ac:dyDescent="0.25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7"/>
      <c r="AO823" s="57"/>
    </row>
    <row r="824" spans="1:41" ht="15.75" customHeight="1" x14ac:dyDescent="0.25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7"/>
      <c r="AO824" s="57"/>
    </row>
    <row r="825" spans="1:41" ht="15.75" customHeight="1" x14ac:dyDescent="0.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7"/>
      <c r="AO825" s="57"/>
    </row>
    <row r="826" spans="1:41" ht="15.75" customHeight="1" x14ac:dyDescent="0.25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7"/>
      <c r="AO826" s="57"/>
    </row>
    <row r="827" spans="1:41" ht="15.75" customHeight="1" x14ac:dyDescent="0.25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7"/>
      <c r="AO827" s="57"/>
    </row>
    <row r="828" spans="1:41" ht="15.75" customHeight="1" x14ac:dyDescent="0.25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7"/>
      <c r="AO828" s="57"/>
    </row>
    <row r="829" spans="1:41" ht="15.75" customHeight="1" x14ac:dyDescent="0.25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7"/>
      <c r="AO829" s="57"/>
    </row>
    <row r="830" spans="1:41" ht="15.75" customHeight="1" x14ac:dyDescent="0.25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7"/>
      <c r="AO830" s="57"/>
    </row>
    <row r="831" spans="1:41" ht="15.75" customHeight="1" x14ac:dyDescent="0.25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7"/>
      <c r="AO831" s="57"/>
    </row>
    <row r="832" spans="1:41" ht="15.75" customHeight="1" x14ac:dyDescent="0.25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7"/>
      <c r="AO832" s="57"/>
    </row>
    <row r="833" spans="1:41" ht="15.75" customHeight="1" x14ac:dyDescent="0.25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7"/>
      <c r="AO833" s="57"/>
    </row>
    <row r="834" spans="1:41" ht="15.75" customHeight="1" x14ac:dyDescent="0.25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7"/>
      <c r="AO834" s="57"/>
    </row>
    <row r="835" spans="1:41" ht="15.75" customHeight="1" x14ac:dyDescent="0.2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7"/>
      <c r="AO835" s="57"/>
    </row>
    <row r="836" spans="1:41" ht="15.75" customHeight="1" x14ac:dyDescent="0.25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7"/>
      <c r="AO836" s="57"/>
    </row>
    <row r="837" spans="1:41" ht="15.75" customHeight="1" x14ac:dyDescent="0.25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7"/>
      <c r="AO837" s="57"/>
    </row>
    <row r="838" spans="1:41" ht="15.75" customHeight="1" x14ac:dyDescent="0.25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7"/>
      <c r="AO838" s="57"/>
    </row>
    <row r="839" spans="1:41" ht="15.75" customHeight="1" x14ac:dyDescent="0.25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7"/>
      <c r="AO839" s="57"/>
    </row>
    <row r="840" spans="1:41" ht="15.75" customHeight="1" x14ac:dyDescent="0.25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7"/>
      <c r="AO840" s="57"/>
    </row>
    <row r="841" spans="1:41" ht="15.75" customHeight="1" x14ac:dyDescent="0.25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7"/>
      <c r="AO841" s="57"/>
    </row>
    <row r="842" spans="1:41" ht="15.75" customHeight="1" x14ac:dyDescent="0.25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7"/>
      <c r="AO842" s="57"/>
    </row>
    <row r="843" spans="1:41" ht="15.75" customHeight="1" x14ac:dyDescent="0.25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7"/>
      <c r="AO843" s="57"/>
    </row>
    <row r="844" spans="1:41" ht="15.75" customHeight="1" x14ac:dyDescent="0.25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7"/>
      <c r="AO844" s="57"/>
    </row>
    <row r="845" spans="1:41" ht="15.75" customHeight="1" x14ac:dyDescent="0.2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7"/>
      <c r="AO845" s="57"/>
    </row>
    <row r="846" spans="1:41" ht="15.75" customHeight="1" x14ac:dyDescent="0.25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7"/>
      <c r="AO846" s="57"/>
    </row>
    <row r="847" spans="1:41" ht="15.75" customHeight="1" x14ac:dyDescent="0.25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7"/>
      <c r="AO847" s="57"/>
    </row>
    <row r="848" spans="1:41" ht="15.75" customHeight="1" x14ac:dyDescent="0.25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7"/>
      <c r="AO848" s="57"/>
    </row>
    <row r="849" spans="1:41" ht="15.75" customHeight="1" x14ac:dyDescent="0.25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7"/>
      <c r="AO849" s="57"/>
    </row>
    <row r="850" spans="1:41" ht="15.75" customHeight="1" x14ac:dyDescent="0.25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7"/>
      <c r="AO850" s="57"/>
    </row>
    <row r="851" spans="1:41" ht="15.75" customHeight="1" x14ac:dyDescent="0.25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7"/>
      <c r="AO851" s="57"/>
    </row>
    <row r="852" spans="1:41" ht="15.75" customHeight="1" x14ac:dyDescent="0.25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7"/>
      <c r="AO852" s="57"/>
    </row>
    <row r="853" spans="1:41" ht="15.75" customHeight="1" x14ac:dyDescent="0.25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7"/>
      <c r="AO853" s="57"/>
    </row>
    <row r="854" spans="1:41" ht="15.75" customHeight="1" x14ac:dyDescent="0.25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7"/>
      <c r="AO854" s="57"/>
    </row>
    <row r="855" spans="1:41" ht="15.75" customHeight="1" x14ac:dyDescent="0.2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7"/>
      <c r="AO855" s="57"/>
    </row>
    <row r="856" spans="1:41" ht="15.75" customHeight="1" x14ac:dyDescent="0.25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7"/>
      <c r="AO856" s="57"/>
    </row>
    <row r="857" spans="1:41" ht="15.75" customHeight="1" x14ac:dyDescent="0.25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7"/>
      <c r="AO857" s="57"/>
    </row>
    <row r="858" spans="1:41" ht="15.75" customHeight="1" x14ac:dyDescent="0.25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7"/>
      <c r="AO858" s="57"/>
    </row>
    <row r="859" spans="1:41" ht="15.75" customHeight="1" x14ac:dyDescent="0.25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7"/>
      <c r="AO859" s="57"/>
    </row>
    <row r="860" spans="1:41" ht="15.75" customHeight="1" x14ac:dyDescent="0.25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7"/>
      <c r="AO860" s="57"/>
    </row>
    <row r="861" spans="1:41" ht="15.75" customHeight="1" x14ac:dyDescent="0.25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7"/>
      <c r="AO861" s="57"/>
    </row>
    <row r="862" spans="1:41" ht="15.75" customHeight="1" x14ac:dyDescent="0.25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7"/>
      <c r="AO862" s="57"/>
    </row>
    <row r="863" spans="1:41" ht="15.75" customHeight="1" x14ac:dyDescent="0.25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7"/>
      <c r="AO863" s="57"/>
    </row>
    <row r="864" spans="1:41" ht="15.75" customHeight="1" x14ac:dyDescent="0.25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7"/>
      <c r="AO864" s="57"/>
    </row>
    <row r="865" spans="1:41" ht="15.75" customHeight="1" x14ac:dyDescent="0.2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7"/>
      <c r="AO865" s="57"/>
    </row>
    <row r="866" spans="1:41" ht="15.75" customHeight="1" x14ac:dyDescent="0.25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7"/>
      <c r="AO866" s="57"/>
    </row>
    <row r="867" spans="1:41" ht="15.75" customHeight="1" x14ac:dyDescent="0.25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7"/>
      <c r="AO867" s="57"/>
    </row>
    <row r="868" spans="1:41" ht="15.75" customHeight="1" x14ac:dyDescent="0.25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7"/>
      <c r="AO868" s="57"/>
    </row>
    <row r="869" spans="1:41" ht="15.75" customHeight="1" x14ac:dyDescent="0.25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7"/>
      <c r="AO869" s="57"/>
    </row>
    <row r="870" spans="1:41" ht="15.75" customHeight="1" x14ac:dyDescent="0.25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7"/>
      <c r="AO870" s="57"/>
    </row>
    <row r="871" spans="1:41" ht="15.75" customHeight="1" x14ac:dyDescent="0.25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7"/>
      <c r="AO871" s="57"/>
    </row>
    <row r="872" spans="1:41" ht="15.75" customHeight="1" x14ac:dyDescent="0.25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7"/>
      <c r="AO872" s="57"/>
    </row>
    <row r="873" spans="1:41" ht="15.75" customHeight="1" x14ac:dyDescent="0.25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7"/>
      <c r="AO873" s="57"/>
    </row>
    <row r="874" spans="1:41" ht="15.75" customHeight="1" x14ac:dyDescent="0.25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7"/>
      <c r="AO874" s="57"/>
    </row>
    <row r="875" spans="1:41" ht="15.75" customHeight="1" x14ac:dyDescent="0.2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7"/>
      <c r="AO875" s="57"/>
    </row>
    <row r="876" spans="1:41" ht="15.75" customHeight="1" x14ac:dyDescent="0.25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7"/>
      <c r="AO876" s="57"/>
    </row>
    <row r="877" spans="1:41" ht="15.75" customHeight="1" x14ac:dyDescent="0.25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7"/>
      <c r="AO877" s="57"/>
    </row>
    <row r="878" spans="1:41" ht="15.75" customHeight="1" x14ac:dyDescent="0.25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7"/>
      <c r="AO878" s="57"/>
    </row>
    <row r="879" spans="1:41" ht="15.75" customHeight="1" x14ac:dyDescent="0.25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7"/>
      <c r="AO879" s="57"/>
    </row>
    <row r="880" spans="1:41" ht="15.75" customHeight="1" x14ac:dyDescent="0.25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7"/>
      <c r="AO880" s="57"/>
    </row>
    <row r="881" spans="1:41" ht="15.75" customHeight="1" x14ac:dyDescent="0.25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7"/>
      <c r="AO881" s="57"/>
    </row>
    <row r="882" spans="1:41" ht="15.75" customHeight="1" x14ac:dyDescent="0.25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7"/>
      <c r="AO882" s="57"/>
    </row>
    <row r="883" spans="1:41" ht="15.75" customHeight="1" x14ac:dyDescent="0.25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7"/>
      <c r="AO883" s="57"/>
    </row>
    <row r="884" spans="1:41" ht="15.75" customHeight="1" x14ac:dyDescent="0.25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7"/>
      <c r="AO884" s="57"/>
    </row>
    <row r="885" spans="1:41" ht="15.75" customHeight="1" x14ac:dyDescent="0.2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7"/>
      <c r="AO885" s="57"/>
    </row>
    <row r="886" spans="1:41" ht="15.75" customHeight="1" x14ac:dyDescent="0.25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7"/>
      <c r="AO886" s="57"/>
    </row>
    <row r="887" spans="1:41" ht="15.75" customHeight="1" x14ac:dyDescent="0.25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7"/>
      <c r="AO887" s="57"/>
    </row>
    <row r="888" spans="1:41" ht="15.75" customHeight="1" x14ac:dyDescent="0.25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7"/>
      <c r="AO888" s="57"/>
    </row>
    <row r="889" spans="1:41" ht="15.75" customHeight="1" x14ac:dyDescent="0.25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7"/>
      <c r="AO889" s="57"/>
    </row>
    <row r="890" spans="1:41" ht="15.75" customHeight="1" x14ac:dyDescent="0.25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7"/>
      <c r="AO890" s="57"/>
    </row>
    <row r="891" spans="1:41" ht="15.75" customHeight="1" x14ac:dyDescent="0.25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7"/>
      <c r="AO891" s="57"/>
    </row>
    <row r="892" spans="1:41" ht="15.75" customHeight="1" x14ac:dyDescent="0.25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7"/>
      <c r="AO892" s="57"/>
    </row>
    <row r="893" spans="1:41" ht="15.75" customHeight="1" x14ac:dyDescent="0.25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7"/>
      <c r="AO893" s="57"/>
    </row>
    <row r="894" spans="1:41" ht="15.75" customHeight="1" x14ac:dyDescent="0.25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7"/>
      <c r="AO894" s="57"/>
    </row>
    <row r="895" spans="1:41" ht="15.75" customHeight="1" x14ac:dyDescent="0.2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7"/>
      <c r="AO895" s="57"/>
    </row>
    <row r="896" spans="1:41" ht="15.75" customHeight="1" x14ac:dyDescent="0.25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7"/>
      <c r="AO896" s="57"/>
    </row>
    <row r="897" spans="1:41" ht="15.75" customHeight="1" x14ac:dyDescent="0.25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7"/>
      <c r="AO897" s="57"/>
    </row>
    <row r="898" spans="1:41" ht="15.75" customHeight="1" x14ac:dyDescent="0.25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7"/>
      <c r="AO898" s="57"/>
    </row>
    <row r="899" spans="1:41" ht="15.75" customHeight="1" x14ac:dyDescent="0.25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7"/>
      <c r="AO899" s="57"/>
    </row>
    <row r="900" spans="1:41" ht="15.75" customHeight="1" x14ac:dyDescent="0.25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7"/>
      <c r="AO900" s="57"/>
    </row>
    <row r="901" spans="1:41" ht="15.75" customHeight="1" x14ac:dyDescent="0.25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7"/>
      <c r="AO901" s="57"/>
    </row>
    <row r="902" spans="1:41" ht="15.75" customHeight="1" x14ac:dyDescent="0.25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7"/>
      <c r="AO902" s="57"/>
    </row>
    <row r="903" spans="1:41" ht="15.75" customHeight="1" x14ac:dyDescent="0.25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7"/>
      <c r="AO903" s="57"/>
    </row>
    <row r="904" spans="1:41" ht="15.75" customHeight="1" x14ac:dyDescent="0.25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7"/>
      <c r="AO904" s="57"/>
    </row>
    <row r="905" spans="1:41" ht="15.75" customHeight="1" x14ac:dyDescent="0.2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7"/>
      <c r="AO905" s="57"/>
    </row>
    <row r="906" spans="1:41" ht="15.75" customHeight="1" x14ac:dyDescent="0.25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7"/>
      <c r="AO906" s="57"/>
    </row>
    <row r="907" spans="1:41" ht="15.75" customHeight="1" x14ac:dyDescent="0.25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7"/>
      <c r="AO907" s="57"/>
    </row>
    <row r="908" spans="1:41" ht="15.75" customHeight="1" x14ac:dyDescent="0.25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7"/>
      <c r="AO908" s="57"/>
    </row>
    <row r="909" spans="1:41" ht="15.75" customHeight="1" x14ac:dyDescent="0.25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7"/>
      <c r="AO909" s="57"/>
    </row>
    <row r="910" spans="1:41" ht="15.75" customHeight="1" x14ac:dyDescent="0.25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7"/>
      <c r="AO910" s="57"/>
    </row>
    <row r="911" spans="1:41" ht="15.75" customHeight="1" x14ac:dyDescent="0.25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7"/>
      <c r="AO911" s="57"/>
    </row>
    <row r="912" spans="1:41" ht="15.75" customHeight="1" x14ac:dyDescent="0.25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7"/>
      <c r="AO912" s="57"/>
    </row>
    <row r="913" spans="1:41" ht="15.75" customHeight="1" x14ac:dyDescent="0.25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7"/>
      <c r="AO913" s="57"/>
    </row>
    <row r="914" spans="1:41" ht="15.75" customHeight="1" x14ac:dyDescent="0.25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7"/>
      <c r="AO914" s="57"/>
    </row>
    <row r="915" spans="1:41" ht="15.75" customHeight="1" x14ac:dyDescent="0.2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7"/>
      <c r="AO915" s="57"/>
    </row>
    <row r="916" spans="1:41" ht="15.75" customHeight="1" x14ac:dyDescent="0.25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7"/>
      <c r="AO916" s="57"/>
    </row>
    <row r="917" spans="1:41" ht="15.75" customHeight="1" x14ac:dyDescent="0.25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7"/>
      <c r="AO917" s="57"/>
    </row>
    <row r="918" spans="1:41" ht="15.75" customHeight="1" x14ac:dyDescent="0.25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7"/>
      <c r="AO918" s="57"/>
    </row>
    <row r="919" spans="1:41" ht="15.75" customHeight="1" x14ac:dyDescent="0.25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7"/>
      <c r="AO919" s="57"/>
    </row>
    <row r="920" spans="1:41" ht="15.75" customHeight="1" x14ac:dyDescent="0.25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7"/>
      <c r="AO920" s="57"/>
    </row>
    <row r="921" spans="1:41" ht="15.75" customHeight="1" x14ac:dyDescent="0.25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7"/>
      <c r="AO921" s="57"/>
    </row>
    <row r="922" spans="1:41" ht="15.75" customHeight="1" x14ac:dyDescent="0.25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7"/>
      <c r="AO922" s="57"/>
    </row>
    <row r="923" spans="1:41" ht="15.75" customHeight="1" x14ac:dyDescent="0.25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7"/>
      <c r="AO923" s="57"/>
    </row>
    <row r="924" spans="1:41" ht="15.75" customHeight="1" x14ac:dyDescent="0.25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7"/>
      <c r="AO924" s="57"/>
    </row>
    <row r="925" spans="1:41" ht="15.75" customHeight="1" x14ac:dyDescent="0.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7"/>
      <c r="AO925" s="57"/>
    </row>
    <row r="926" spans="1:41" ht="15.75" customHeight="1" x14ac:dyDescent="0.25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7"/>
      <c r="AO926" s="57"/>
    </row>
    <row r="927" spans="1:41" ht="15.75" customHeight="1" x14ac:dyDescent="0.25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7"/>
      <c r="AO927" s="57"/>
    </row>
    <row r="928" spans="1:41" ht="15.75" customHeight="1" x14ac:dyDescent="0.25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7"/>
      <c r="AO928" s="57"/>
    </row>
    <row r="929" spans="1:41" ht="15.75" customHeight="1" x14ac:dyDescent="0.25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7"/>
      <c r="AO929" s="57"/>
    </row>
    <row r="930" spans="1:41" ht="15.75" customHeight="1" x14ac:dyDescent="0.25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7"/>
      <c r="AO930" s="57"/>
    </row>
    <row r="931" spans="1:41" ht="15.75" customHeight="1" x14ac:dyDescent="0.25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7"/>
      <c r="AO931" s="57"/>
    </row>
    <row r="932" spans="1:41" ht="15.75" customHeight="1" x14ac:dyDescent="0.25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7"/>
      <c r="AO932" s="57"/>
    </row>
    <row r="933" spans="1:41" ht="15.75" customHeight="1" x14ac:dyDescent="0.25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7"/>
      <c r="AO933" s="57"/>
    </row>
    <row r="934" spans="1:41" ht="15.75" customHeight="1" x14ac:dyDescent="0.25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7"/>
      <c r="AO934" s="57"/>
    </row>
    <row r="935" spans="1:41" ht="15.75" customHeight="1" x14ac:dyDescent="0.2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7"/>
      <c r="AO935" s="57"/>
    </row>
    <row r="936" spans="1:41" ht="15.75" customHeight="1" x14ac:dyDescent="0.25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7"/>
      <c r="AO936" s="57"/>
    </row>
    <row r="937" spans="1:41" ht="15.75" customHeight="1" x14ac:dyDescent="0.25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7"/>
      <c r="AO937" s="57"/>
    </row>
    <row r="938" spans="1:41" ht="15.75" customHeight="1" x14ac:dyDescent="0.25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7"/>
      <c r="AO938" s="57"/>
    </row>
    <row r="939" spans="1:41" ht="15.75" customHeight="1" x14ac:dyDescent="0.25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7"/>
      <c r="AO939" s="57"/>
    </row>
    <row r="940" spans="1:41" ht="15.75" customHeight="1" x14ac:dyDescent="0.25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7"/>
      <c r="AO940" s="57"/>
    </row>
    <row r="941" spans="1:41" ht="15.75" customHeight="1" x14ac:dyDescent="0.25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7"/>
      <c r="AO941" s="57"/>
    </row>
    <row r="942" spans="1:41" ht="15.75" customHeight="1" x14ac:dyDescent="0.25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7"/>
      <c r="AO942" s="57"/>
    </row>
    <row r="943" spans="1:41" ht="15.75" customHeight="1" x14ac:dyDescent="0.25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7"/>
      <c r="AO943" s="57"/>
    </row>
    <row r="944" spans="1:41" ht="15.75" customHeight="1" x14ac:dyDescent="0.25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7"/>
      <c r="AO944" s="57"/>
    </row>
    <row r="945" spans="1:41" ht="15.75" customHeight="1" x14ac:dyDescent="0.2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7"/>
      <c r="AO945" s="57"/>
    </row>
    <row r="946" spans="1:41" ht="15.75" customHeight="1" x14ac:dyDescent="0.25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7"/>
      <c r="AO946" s="57"/>
    </row>
    <row r="947" spans="1:41" ht="15.75" customHeight="1" x14ac:dyDescent="0.25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7"/>
      <c r="AO947" s="57"/>
    </row>
    <row r="948" spans="1:41" ht="15.75" customHeight="1" x14ac:dyDescent="0.25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7"/>
      <c r="AO948" s="57"/>
    </row>
    <row r="949" spans="1:41" ht="15.75" customHeight="1" x14ac:dyDescent="0.25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7"/>
      <c r="AO949" s="57"/>
    </row>
    <row r="950" spans="1:41" ht="15.75" customHeight="1" x14ac:dyDescent="0.25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7"/>
      <c r="AO950" s="57"/>
    </row>
    <row r="951" spans="1:41" ht="15.75" customHeight="1" x14ac:dyDescent="0.25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7"/>
      <c r="AO951" s="57"/>
    </row>
    <row r="952" spans="1:41" ht="15.75" customHeight="1" x14ac:dyDescent="0.25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7"/>
      <c r="AO952" s="57"/>
    </row>
    <row r="953" spans="1:41" ht="15.75" customHeight="1" x14ac:dyDescent="0.25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7"/>
      <c r="AO953" s="57"/>
    </row>
    <row r="954" spans="1:41" ht="15.75" customHeight="1" x14ac:dyDescent="0.25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7"/>
      <c r="AO954" s="57"/>
    </row>
    <row r="955" spans="1:41" ht="15.75" customHeight="1" x14ac:dyDescent="0.2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7"/>
      <c r="AO955" s="57"/>
    </row>
    <row r="956" spans="1:41" ht="15.75" customHeight="1" x14ac:dyDescent="0.25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7"/>
      <c r="AO956" s="57"/>
    </row>
    <row r="957" spans="1:41" ht="15.75" customHeight="1" x14ac:dyDescent="0.25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7"/>
      <c r="AO957" s="57"/>
    </row>
    <row r="958" spans="1:41" ht="15.75" customHeight="1" x14ac:dyDescent="0.25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7"/>
      <c r="AO958" s="57"/>
    </row>
    <row r="959" spans="1:41" ht="15.75" customHeight="1" x14ac:dyDescent="0.25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7"/>
      <c r="AO959" s="57"/>
    </row>
    <row r="960" spans="1:41" ht="15.75" customHeight="1" x14ac:dyDescent="0.25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7"/>
      <c r="AO960" s="57"/>
    </row>
    <row r="961" spans="1:41" ht="15.75" customHeight="1" x14ac:dyDescent="0.25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7"/>
      <c r="AO961" s="57"/>
    </row>
    <row r="962" spans="1:41" ht="15.75" customHeight="1" x14ac:dyDescent="0.25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7"/>
      <c r="AO962" s="57"/>
    </row>
    <row r="963" spans="1:41" ht="15.75" customHeight="1" x14ac:dyDescent="0.25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7"/>
      <c r="AO963" s="57"/>
    </row>
    <row r="964" spans="1:41" ht="15.75" customHeight="1" x14ac:dyDescent="0.25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7"/>
      <c r="AO964" s="57"/>
    </row>
    <row r="965" spans="1:41" ht="15.75" customHeight="1" x14ac:dyDescent="0.2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7"/>
      <c r="AO965" s="57"/>
    </row>
    <row r="966" spans="1:41" ht="15.75" customHeight="1" x14ac:dyDescent="0.25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7"/>
      <c r="AO966" s="57"/>
    </row>
    <row r="967" spans="1:41" ht="15.75" customHeight="1" x14ac:dyDescent="0.25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7"/>
      <c r="AO967" s="57"/>
    </row>
    <row r="968" spans="1:41" ht="15.75" customHeight="1" x14ac:dyDescent="0.25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7"/>
      <c r="AO968" s="57"/>
    </row>
    <row r="969" spans="1:41" ht="15.75" customHeight="1" x14ac:dyDescent="0.25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7"/>
      <c r="AO969" s="57"/>
    </row>
    <row r="970" spans="1:41" ht="15.75" customHeight="1" x14ac:dyDescent="0.25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7"/>
      <c r="AO970" s="57"/>
    </row>
    <row r="971" spans="1:41" ht="15.75" customHeight="1" x14ac:dyDescent="0.25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7"/>
      <c r="AO971" s="57"/>
    </row>
    <row r="972" spans="1:41" ht="15.75" customHeight="1" x14ac:dyDescent="0.25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7"/>
      <c r="AO972" s="57"/>
    </row>
    <row r="973" spans="1:41" ht="15.75" customHeight="1" x14ac:dyDescent="0.25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7"/>
      <c r="AO973" s="57"/>
    </row>
    <row r="974" spans="1:41" ht="15.75" customHeight="1" x14ac:dyDescent="0.25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7"/>
      <c r="AO974" s="57"/>
    </row>
    <row r="975" spans="1:41" ht="15.75" customHeight="1" x14ac:dyDescent="0.2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7"/>
      <c r="AO975" s="57"/>
    </row>
    <row r="976" spans="1:41" ht="15.75" customHeight="1" x14ac:dyDescent="0.25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7"/>
      <c r="AO976" s="57"/>
    </row>
    <row r="977" spans="1:41" ht="15.75" customHeight="1" x14ac:dyDescent="0.25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7"/>
      <c r="AO977" s="57"/>
    </row>
    <row r="978" spans="1:41" ht="15.75" customHeight="1" x14ac:dyDescent="0.25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7"/>
      <c r="AO978" s="57"/>
    </row>
    <row r="979" spans="1:41" ht="15.75" customHeight="1" x14ac:dyDescent="0.25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7"/>
      <c r="AO979" s="57"/>
    </row>
    <row r="980" spans="1:41" ht="15.75" customHeight="1" x14ac:dyDescent="0.25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7"/>
      <c r="AO980" s="57"/>
    </row>
    <row r="981" spans="1:41" ht="15.75" customHeight="1" x14ac:dyDescent="0.25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7"/>
      <c r="AO981" s="57"/>
    </row>
    <row r="982" spans="1:41" ht="15.75" customHeight="1" x14ac:dyDescent="0.25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7"/>
      <c r="AO982" s="57"/>
    </row>
    <row r="983" spans="1:41" ht="15.75" customHeight="1" x14ac:dyDescent="0.25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7"/>
      <c r="AO983" s="57"/>
    </row>
    <row r="984" spans="1:41" ht="15.75" customHeight="1" x14ac:dyDescent="0.25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7"/>
      <c r="AO984" s="57"/>
    </row>
    <row r="985" spans="1:41" ht="15.75" customHeight="1" x14ac:dyDescent="0.2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7"/>
      <c r="AO985" s="57"/>
    </row>
    <row r="986" spans="1:41" ht="15.75" customHeight="1" x14ac:dyDescent="0.25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7"/>
      <c r="AO986" s="57"/>
    </row>
    <row r="987" spans="1:41" ht="15.75" customHeight="1" x14ac:dyDescent="0.25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7"/>
      <c r="AO987" s="57"/>
    </row>
    <row r="988" spans="1:41" ht="15.75" customHeight="1" x14ac:dyDescent="0.25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7"/>
      <c r="AO988" s="57"/>
    </row>
    <row r="989" spans="1:41" ht="15.75" customHeight="1" x14ac:dyDescent="0.25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7"/>
      <c r="AO989" s="57"/>
    </row>
    <row r="990" spans="1:41" ht="15.75" customHeight="1" x14ac:dyDescent="0.25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7"/>
      <c r="AO990" s="57"/>
    </row>
    <row r="991" spans="1:41" ht="15.75" customHeight="1" x14ac:dyDescent="0.25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7"/>
      <c r="AO991" s="57"/>
    </row>
    <row r="992" spans="1:41" ht="15.75" customHeight="1" x14ac:dyDescent="0.25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7"/>
      <c r="AO992" s="57"/>
    </row>
    <row r="993" spans="1:41" ht="15.75" customHeight="1" x14ac:dyDescent="0.25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7"/>
      <c r="AO993" s="57"/>
    </row>
    <row r="994" spans="1:41" ht="15.75" customHeight="1" x14ac:dyDescent="0.25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7"/>
      <c r="AO994" s="57"/>
    </row>
    <row r="995" spans="1:41" ht="15.75" customHeight="1" x14ac:dyDescent="0.2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7"/>
      <c r="AO995" s="57"/>
    </row>
    <row r="996" spans="1:41" ht="15.75" customHeight="1" x14ac:dyDescent="0.25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7"/>
      <c r="AO996" s="57"/>
    </row>
    <row r="997" spans="1:41" ht="15.75" customHeight="1" x14ac:dyDescent="0.25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7"/>
      <c r="AO997" s="57"/>
    </row>
    <row r="998" spans="1:41" ht="15.75" customHeight="1" x14ac:dyDescent="0.25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7"/>
      <c r="AO998" s="57"/>
    </row>
    <row r="999" spans="1:41" ht="15.75" customHeight="1" x14ac:dyDescent="0.25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7"/>
      <c r="AO999" s="5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00"/>
  <sheetViews>
    <sheetView workbookViewId="0"/>
  </sheetViews>
  <sheetFormatPr baseColWidth="10" defaultColWidth="14.42578125" defaultRowHeight="15" customHeight="1" x14ac:dyDescent="0.25"/>
  <cols>
    <col min="1" max="1" width="11.42578125" customWidth="1"/>
    <col min="2" max="2" width="30.28515625" customWidth="1"/>
    <col min="3" max="26" width="11.42578125" customWidth="1"/>
  </cols>
  <sheetData>
    <row r="1" spans="1:2" x14ac:dyDescent="0.25">
      <c r="A1" s="58" t="s">
        <v>308</v>
      </c>
      <c r="B1" s="58" t="s">
        <v>356</v>
      </c>
    </row>
    <row r="2" spans="1:2" x14ac:dyDescent="0.25">
      <c r="A2" s="59" t="s">
        <v>357</v>
      </c>
      <c r="B2" s="60" t="s">
        <v>358</v>
      </c>
    </row>
    <row r="3" spans="1:2" x14ac:dyDescent="0.25">
      <c r="A3" s="59">
        <v>61</v>
      </c>
      <c r="B3" s="60" t="s">
        <v>358</v>
      </c>
    </row>
    <row r="4" spans="1:2" x14ac:dyDescent="0.25">
      <c r="A4" s="59">
        <v>62</v>
      </c>
      <c r="B4" s="60" t="s">
        <v>358</v>
      </c>
    </row>
    <row r="5" spans="1:2" x14ac:dyDescent="0.25">
      <c r="A5" s="59">
        <v>83</v>
      </c>
      <c r="B5" s="60" t="s">
        <v>358</v>
      </c>
    </row>
    <row r="6" spans="1:2" x14ac:dyDescent="0.25">
      <c r="A6" s="59">
        <v>85</v>
      </c>
      <c r="B6" s="60" t="s">
        <v>358</v>
      </c>
    </row>
    <row r="7" spans="1:2" x14ac:dyDescent="0.25">
      <c r="A7" s="61">
        <v>86</v>
      </c>
      <c r="B7" s="60" t="s">
        <v>358</v>
      </c>
    </row>
    <row r="8" spans="1:2" x14ac:dyDescent="0.25">
      <c r="A8" s="59">
        <v>153</v>
      </c>
      <c r="B8" s="60" t="s">
        <v>358</v>
      </c>
    </row>
    <row r="9" spans="1:2" x14ac:dyDescent="0.25">
      <c r="A9" s="59">
        <v>154</v>
      </c>
      <c r="B9" s="60" t="s">
        <v>358</v>
      </c>
    </row>
    <row r="10" spans="1:2" x14ac:dyDescent="0.25">
      <c r="A10" s="59">
        <v>155</v>
      </c>
      <c r="B10" s="60" t="s">
        <v>358</v>
      </c>
    </row>
    <row r="11" spans="1:2" x14ac:dyDescent="0.25">
      <c r="A11" s="59">
        <v>156</v>
      </c>
      <c r="B11" s="60" t="s">
        <v>358</v>
      </c>
    </row>
    <row r="12" spans="1:2" x14ac:dyDescent="0.25">
      <c r="A12" s="59">
        <v>157</v>
      </c>
      <c r="B12" s="60" t="s">
        <v>358</v>
      </c>
    </row>
    <row r="13" spans="1:2" x14ac:dyDescent="0.25">
      <c r="A13" s="59">
        <v>266</v>
      </c>
      <c r="B13" s="60" t="s">
        <v>358</v>
      </c>
    </row>
    <row r="14" spans="1:2" x14ac:dyDescent="0.25">
      <c r="A14" s="59">
        <v>269</v>
      </c>
      <c r="B14" s="60" t="s">
        <v>358</v>
      </c>
    </row>
    <row r="15" spans="1:2" x14ac:dyDescent="0.25">
      <c r="A15" s="59">
        <v>323</v>
      </c>
      <c r="B15" s="60" t="s">
        <v>358</v>
      </c>
    </row>
    <row r="16" spans="1:2" x14ac:dyDescent="0.25">
      <c r="A16" s="59" t="s">
        <v>357</v>
      </c>
      <c r="B16" s="60" t="s">
        <v>358</v>
      </c>
    </row>
    <row r="17" spans="1:2" x14ac:dyDescent="0.25">
      <c r="A17" s="62">
        <v>70</v>
      </c>
      <c r="B17" s="60" t="s">
        <v>359</v>
      </c>
    </row>
    <row r="18" spans="1:2" x14ac:dyDescent="0.25">
      <c r="A18" s="61">
        <v>71</v>
      </c>
      <c r="B18" s="60" t="s">
        <v>359</v>
      </c>
    </row>
    <row r="19" spans="1:2" x14ac:dyDescent="0.25">
      <c r="A19" s="59">
        <v>72</v>
      </c>
      <c r="B19" s="60" t="s">
        <v>359</v>
      </c>
    </row>
    <row r="20" spans="1:2" x14ac:dyDescent="0.25">
      <c r="A20" s="59">
        <v>73</v>
      </c>
      <c r="B20" s="60" t="s">
        <v>359</v>
      </c>
    </row>
    <row r="21" spans="1:2" ht="15.75" customHeight="1" x14ac:dyDescent="0.25">
      <c r="A21" s="59">
        <v>74</v>
      </c>
      <c r="B21" s="60" t="s">
        <v>359</v>
      </c>
    </row>
    <row r="22" spans="1:2" ht="15.75" customHeight="1" x14ac:dyDescent="0.25">
      <c r="A22" s="59">
        <v>106</v>
      </c>
      <c r="B22" s="60" t="s">
        <v>359</v>
      </c>
    </row>
    <row r="23" spans="1:2" ht="15.75" customHeight="1" x14ac:dyDescent="0.25">
      <c r="A23" s="59">
        <v>107</v>
      </c>
      <c r="B23" s="60" t="s">
        <v>359</v>
      </c>
    </row>
    <row r="24" spans="1:2" ht="15.75" customHeight="1" x14ac:dyDescent="0.25">
      <c r="A24" s="59">
        <v>108</v>
      </c>
      <c r="B24" s="60" t="s">
        <v>359</v>
      </c>
    </row>
    <row r="25" spans="1:2" ht="15.75" customHeight="1" x14ac:dyDescent="0.25">
      <c r="A25" s="59">
        <v>110</v>
      </c>
      <c r="B25" s="60" t="s">
        <v>359</v>
      </c>
    </row>
    <row r="26" spans="1:2" ht="15.75" customHeight="1" x14ac:dyDescent="0.25">
      <c r="A26" s="59">
        <v>113</v>
      </c>
      <c r="B26" s="60" t="s">
        <v>359</v>
      </c>
    </row>
    <row r="27" spans="1:2" ht="15.75" customHeight="1" x14ac:dyDescent="0.25">
      <c r="A27" s="59">
        <v>114</v>
      </c>
      <c r="B27" s="60" t="s">
        <v>359</v>
      </c>
    </row>
    <row r="28" spans="1:2" ht="15.75" customHeight="1" x14ac:dyDescent="0.25">
      <c r="A28" s="59">
        <v>186</v>
      </c>
      <c r="B28" s="60" t="s">
        <v>359</v>
      </c>
    </row>
    <row r="29" spans="1:2" ht="15.75" customHeight="1" x14ac:dyDescent="0.25">
      <c r="A29" s="59">
        <v>248</v>
      </c>
      <c r="B29" s="60" t="s">
        <v>359</v>
      </c>
    </row>
    <row r="30" spans="1:2" ht="15.75" customHeight="1" x14ac:dyDescent="0.25">
      <c r="A30" s="59">
        <v>258</v>
      </c>
      <c r="B30" s="60" t="s">
        <v>359</v>
      </c>
    </row>
    <row r="31" spans="1:2" ht="15.75" customHeight="1" x14ac:dyDescent="0.25">
      <c r="A31" s="59">
        <v>281</v>
      </c>
      <c r="B31" s="60" t="s">
        <v>359</v>
      </c>
    </row>
    <row r="32" spans="1:2" ht="15.75" customHeight="1" x14ac:dyDescent="0.25">
      <c r="A32" s="59">
        <v>282</v>
      </c>
      <c r="B32" s="60" t="s">
        <v>359</v>
      </c>
    </row>
    <row r="33" spans="1:2" ht="15.75" customHeight="1" x14ac:dyDescent="0.25">
      <c r="A33" s="59">
        <v>283</v>
      </c>
      <c r="B33" s="60" t="s">
        <v>359</v>
      </c>
    </row>
    <row r="34" spans="1:2" ht="15.75" customHeight="1" x14ac:dyDescent="0.25">
      <c r="A34" s="59">
        <v>284</v>
      </c>
      <c r="B34" s="60" t="s">
        <v>359</v>
      </c>
    </row>
    <row r="35" spans="1:2" ht="15.75" customHeight="1" x14ac:dyDescent="0.25">
      <c r="A35" s="59">
        <v>285</v>
      </c>
      <c r="B35" s="60" t="s">
        <v>359</v>
      </c>
    </row>
    <row r="36" spans="1:2" ht="15.75" customHeight="1" x14ac:dyDescent="0.25">
      <c r="A36" s="59">
        <v>308</v>
      </c>
      <c r="B36" s="60" t="s">
        <v>359</v>
      </c>
    </row>
    <row r="37" spans="1:2" ht="15.75" customHeight="1" x14ac:dyDescent="0.25">
      <c r="A37" s="63">
        <v>345</v>
      </c>
      <c r="B37" s="60" t="s">
        <v>359</v>
      </c>
    </row>
    <row r="38" spans="1:2" ht="15.75" customHeight="1" x14ac:dyDescent="0.25">
      <c r="A38" s="59" t="s">
        <v>360</v>
      </c>
      <c r="B38" s="60" t="s">
        <v>359</v>
      </c>
    </row>
    <row r="39" spans="1:2" ht="15.75" customHeight="1" x14ac:dyDescent="0.25">
      <c r="A39" s="59" t="s">
        <v>361</v>
      </c>
      <c r="B39" s="60" t="s">
        <v>359</v>
      </c>
    </row>
    <row r="40" spans="1:2" ht="15.75" customHeight="1" x14ac:dyDescent="0.25">
      <c r="A40" s="59" t="s">
        <v>362</v>
      </c>
      <c r="B40" s="60" t="s">
        <v>359</v>
      </c>
    </row>
    <row r="41" spans="1:2" ht="15.75" customHeight="1" x14ac:dyDescent="0.25">
      <c r="A41" s="59">
        <v>133</v>
      </c>
      <c r="B41" s="60" t="s">
        <v>363</v>
      </c>
    </row>
    <row r="42" spans="1:2" ht="15.75" customHeight="1" x14ac:dyDescent="0.25">
      <c r="A42" s="59">
        <v>134</v>
      </c>
      <c r="B42" s="60" t="s">
        <v>363</v>
      </c>
    </row>
    <row r="43" spans="1:2" ht="15.75" customHeight="1" x14ac:dyDescent="0.25">
      <c r="A43" s="59">
        <v>136</v>
      </c>
      <c r="B43" s="60" t="s">
        <v>363</v>
      </c>
    </row>
    <row r="44" spans="1:2" ht="15.75" customHeight="1" x14ac:dyDescent="0.25">
      <c r="A44" s="59">
        <v>141</v>
      </c>
      <c r="B44" s="60" t="s">
        <v>363</v>
      </c>
    </row>
    <row r="45" spans="1:2" ht="15.75" customHeight="1" x14ac:dyDescent="0.25">
      <c r="A45" s="59">
        <v>194</v>
      </c>
      <c r="B45" s="60" t="s">
        <v>363</v>
      </c>
    </row>
    <row r="46" spans="1:2" ht="15.75" customHeight="1" x14ac:dyDescent="0.25">
      <c r="A46" s="62">
        <v>220</v>
      </c>
      <c r="B46" s="60" t="s">
        <v>363</v>
      </c>
    </row>
    <row r="47" spans="1:2" ht="15.75" customHeight="1" x14ac:dyDescent="0.25">
      <c r="A47" s="59">
        <v>256</v>
      </c>
      <c r="B47" s="60" t="s">
        <v>363</v>
      </c>
    </row>
    <row r="48" spans="1:2" ht="15.75" customHeight="1" x14ac:dyDescent="0.25">
      <c r="A48" s="59" t="s">
        <v>364</v>
      </c>
      <c r="B48" s="60" t="s">
        <v>363</v>
      </c>
    </row>
    <row r="49" spans="1:2" ht="15.75" customHeight="1" x14ac:dyDescent="0.25">
      <c r="A49" s="59" t="s">
        <v>365</v>
      </c>
      <c r="B49" s="60" t="s">
        <v>363</v>
      </c>
    </row>
    <row r="50" spans="1:2" ht="15.75" customHeight="1" x14ac:dyDescent="0.25">
      <c r="A50" s="59">
        <v>22</v>
      </c>
      <c r="B50" s="60" t="s">
        <v>366</v>
      </c>
    </row>
    <row r="51" spans="1:2" ht="15.75" customHeight="1" x14ac:dyDescent="0.25">
      <c r="A51" s="59">
        <v>27</v>
      </c>
      <c r="B51" s="60" t="s">
        <v>366</v>
      </c>
    </row>
    <row r="52" spans="1:2" ht="15.75" customHeight="1" x14ac:dyDescent="0.25">
      <c r="A52" s="59">
        <v>29</v>
      </c>
      <c r="B52" s="60" t="s">
        <v>366</v>
      </c>
    </row>
    <row r="53" spans="1:2" ht="15.75" customHeight="1" x14ac:dyDescent="0.25">
      <c r="A53" s="59">
        <v>30</v>
      </c>
      <c r="B53" s="60" t="s">
        <v>366</v>
      </c>
    </row>
    <row r="54" spans="1:2" ht="15.75" customHeight="1" x14ac:dyDescent="0.25">
      <c r="A54" s="59">
        <v>38</v>
      </c>
      <c r="B54" s="60" t="s">
        <v>366</v>
      </c>
    </row>
    <row r="55" spans="1:2" ht="15.75" customHeight="1" x14ac:dyDescent="0.25">
      <c r="A55" s="59">
        <v>199</v>
      </c>
      <c r="B55" s="60" t="s">
        <v>366</v>
      </c>
    </row>
    <row r="56" spans="1:2" ht="15.75" customHeight="1" x14ac:dyDescent="0.25">
      <c r="A56" s="59">
        <v>294</v>
      </c>
      <c r="B56" s="60" t="s">
        <v>366</v>
      </c>
    </row>
    <row r="57" spans="1:2" ht="15.75" customHeight="1" x14ac:dyDescent="0.25">
      <c r="A57" s="59">
        <v>317</v>
      </c>
      <c r="B57" s="60" t="s">
        <v>366</v>
      </c>
    </row>
    <row r="58" spans="1:2" ht="15.75" customHeight="1" x14ac:dyDescent="0.25">
      <c r="A58" s="62" t="s">
        <v>367</v>
      </c>
      <c r="B58" s="60" t="s">
        <v>366</v>
      </c>
    </row>
    <row r="59" spans="1:2" ht="15.75" customHeight="1" x14ac:dyDescent="0.25">
      <c r="A59" s="59">
        <v>363</v>
      </c>
      <c r="B59" s="60" t="s">
        <v>366</v>
      </c>
    </row>
    <row r="60" spans="1:2" ht="15.75" customHeight="1" x14ac:dyDescent="0.25">
      <c r="A60" s="59">
        <v>362</v>
      </c>
      <c r="B60" s="60" t="s">
        <v>366</v>
      </c>
    </row>
    <row r="61" spans="1:2" ht="15.75" customHeight="1" x14ac:dyDescent="0.25">
      <c r="A61" s="59">
        <v>366</v>
      </c>
      <c r="B61" s="60" t="s">
        <v>366</v>
      </c>
    </row>
    <row r="62" spans="1:2" ht="15.75" customHeight="1" x14ac:dyDescent="0.25">
      <c r="A62" s="59">
        <v>99</v>
      </c>
      <c r="B62" s="60" t="s">
        <v>368</v>
      </c>
    </row>
    <row r="63" spans="1:2" ht="15.75" customHeight="1" x14ac:dyDescent="0.25">
      <c r="A63" s="59">
        <v>100</v>
      </c>
      <c r="B63" s="60" t="s">
        <v>368</v>
      </c>
    </row>
    <row r="64" spans="1:2" ht="15.75" customHeight="1" x14ac:dyDescent="0.25">
      <c r="A64" s="59">
        <v>101</v>
      </c>
      <c r="B64" s="60" t="s">
        <v>368</v>
      </c>
    </row>
    <row r="65" spans="1:2" ht="15.75" customHeight="1" x14ac:dyDescent="0.25">
      <c r="A65" s="59">
        <v>102</v>
      </c>
      <c r="B65" s="60" t="s">
        <v>368</v>
      </c>
    </row>
    <row r="66" spans="1:2" ht="15.75" customHeight="1" x14ac:dyDescent="0.25">
      <c r="A66" s="59">
        <v>103</v>
      </c>
      <c r="B66" s="60" t="s">
        <v>368</v>
      </c>
    </row>
    <row r="67" spans="1:2" ht="15.75" customHeight="1" x14ac:dyDescent="0.25">
      <c r="A67" s="59">
        <v>104</v>
      </c>
      <c r="B67" s="60" t="s">
        <v>368</v>
      </c>
    </row>
    <row r="68" spans="1:2" ht="15.75" customHeight="1" x14ac:dyDescent="0.25">
      <c r="A68" s="59">
        <v>105</v>
      </c>
      <c r="B68" s="60" t="s">
        <v>368</v>
      </c>
    </row>
    <row r="69" spans="1:2" ht="15.75" customHeight="1" x14ac:dyDescent="0.25">
      <c r="A69" s="59">
        <v>185</v>
      </c>
      <c r="B69" s="60" t="s">
        <v>368</v>
      </c>
    </row>
    <row r="70" spans="1:2" ht="15.75" customHeight="1" x14ac:dyDescent="0.25">
      <c r="A70" s="59">
        <v>204</v>
      </c>
      <c r="B70" s="60" t="s">
        <v>368</v>
      </c>
    </row>
    <row r="71" spans="1:2" ht="15.75" customHeight="1" x14ac:dyDescent="0.25">
      <c r="A71" s="59">
        <v>344</v>
      </c>
      <c r="B71" s="60" t="s">
        <v>368</v>
      </c>
    </row>
    <row r="72" spans="1:2" ht="15.75" customHeight="1" x14ac:dyDescent="0.25">
      <c r="A72" s="59" t="s">
        <v>369</v>
      </c>
      <c r="B72" s="60" t="s">
        <v>368</v>
      </c>
    </row>
    <row r="73" spans="1:2" ht="15.75" customHeight="1" x14ac:dyDescent="0.25">
      <c r="A73" s="59">
        <v>1</v>
      </c>
      <c r="B73" s="60" t="s">
        <v>370</v>
      </c>
    </row>
    <row r="74" spans="1:2" ht="15.75" customHeight="1" x14ac:dyDescent="0.25">
      <c r="A74" s="59">
        <v>24</v>
      </c>
      <c r="B74" s="60" t="s">
        <v>370</v>
      </c>
    </row>
    <row r="75" spans="1:2" ht="15.75" customHeight="1" x14ac:dyDescent="0.25">
      <c r="A75" s="61">
        <v>36</v>
      </c>
      <c r="B75" s="60" t="s">
        <v>370</v>
      </c>
    </row>
    <row r="76" spans="1:2" ht="15.75" customHeight="1" x14ac:dyDescent="0.25">
      <c r="A76" s="59">
        <v>93</v>
      </c>
      <c r="B76" s="60" t="s">
        <v>370</v>
      </c>
    </row>
    <row r="77" spans="1:2" ht="15.75" customHeight="1" x14ac:dyDescent="0.25">
      <c r="A77" s="59" t="s">
        <v>371</v>
      </c>
      <c r="B77" s="60" t="s">
        <v>370</v>
      </c>
    </row>
    <row r="78" spans="1:2" ht="15.75" customHeight="1" x14ac:dyDescent="0.25">
      <c r="A78" s="59" t="s">
        <v>372</v>
      </c>
      <c r="B78" s="60" t="s">
        <v>370</v>
      </c>
    </row>
    <row r="79" spans="1:2" ht="15.75" customHeight="1" x14ac:dyDescent="0.25">
      <c r="A79" s="59" t="s">
        <v>373</v>
      </c>
      <c r="B79" s="60" t="s">
        <v>370</v>
      </c>
    </row>
    <row r="80" spans="1:2" ht="15.75" customHeight="1" x14ac:dyDescent="0.25">
      <c r="A80" s="59">
        <v>115</v>
      </c>
      <c r="B80" s="60" t="s">
        <v>374</v>
      </c>
    </row>
    <row r="81" spans="1:2" ht="15.75" customHeight="1" x14ac:dyDescent="0.25">
      <c r="A81" s="59">
        <v>117</v>
      </c>
      <c r="B81" s="60" t="s">
        <v>374</v>
      </c>
    </row>
    <row r="82" spans="1:2" ht="15.75" customHeight="1" x14ac:dyDescent="0.25">
      <c r="A82" s="59">
        <v>118</v>
      </c>
      <c r="B82" s="60" t="s">
        <v>374</v>
      </c>
    </row>
    <row r="83" spans="1:2" ht="15.75" customHeight="1" x14ac:dyDescent="0.25">
      <c r="A83" s="59">
        <v>167</v>
      </c>
      <c r="B83" s="60" t="s">
        <v>374</v>
      </c>
    </row>
    <row r="84" spans="1:2" ht="15.75" customHeight="1" x14ac:dyDescent="0.25">
      <c r="A84" s="59">
        <v>168</v>
      </c>
      <c r="B84" s="60" t="s">
        <v>374</v>
      </c>
    </row>
    <row r="85" spans="1:2" ht="15.75" customHeight="1" x14ac:dyDescent="0.25">
      <c r="A85" s="59">
        <v>169</v>
      </c>
      <c r="B85" s="60" t="s">
        <v>374</v>
      </c>
    </row>
    <row r="86" spans="1:2" ht="15.75" customHeight="1" x14ac:dyDescent="0.25">
      <c r="A86" s="59">
        <v>170</v>
      </c>
      <c r="B86" s="60" t="s">
        <v>374</v>
      </c>
    </row>
    <row r="87" spans="1:2" ht="15.75" customHeight="1" x14ac:dyDescent="0.25">
      <c r="A87" s="59">
        <v>179</v>
      </c>
      <c r="B87" s="60" t="s">
        <v>374</v>
      </c>
    </row>
    <row r="88" spans="1:2" ht="15.75" customHeight="1" x14ac:dyDescent="0.25">
      <c r="A88" s="59">
        <v>226</v>
      </c>
      <c r="B88" s="60" t="s">
        <v>374</v>
      </c>
    </row>
    <row r="89" spans="1:2" ht="15.75" customHeight="1" x14ac:dyDescent="0.25">
      <c r="A89" s="61">
        <v>238</v>
      </c>
      <c r="B89" s="60" t="s">
        <v>374</v>
      </c>
    </row>
    <row r="90" spans="1:2" ht="15.75" customHeight="1" x14ac:dyDescent="0.25">
      <c r="A90" s="59">
        <v>239</v>
      </c>
      <c r="B90" s="60" t="s">
        <v>374</v>
      </c>
    </row>
    <row r="91" spans="1:2" ht="15.75" customHeight="1" x14ac:dyDescent="0.25">
      <c r="A91" s="59">
        <v>240</v>
      </c>
      <c r="B91" s="60" t="s">
        <v>374</v>
      </c>
    </row>
    <row r="92" spans="1:2" ht="15.75" customHeight="1" x14ac:dyDescent="0.25">
      <c r="A92" s="59">
        <v>241</v>
      </c>
      <c r="B92" s="60" t="s">
        <v>374</v>
      </c>
    </row>
    <row r="93" spans="1:2" ht="15.75" customHeight="1" x14ac:dyDescent="0.25">
      <c r="A93" s="64">
        <v>247</v>
      </c>
      <c r="B93" s="60" t="s">
        <v>374</v>
      </c>
    </row>
    <row r="94" spans="1:2" ht="15.75" customHeight="1" x14ac:dyDescent="0.25">
      <c r="A94" s="59">
        <v>286</v>
      </c>
      <c r="B94" s="60" t="s">
        <v>374</v>
      </c>
    </row>
    <row r="95" spans="1:2" ht="15.75" customHeight="1" x14ac:dyDescent="0.25">
      <c r="A95" s="59">
        <v>292</v>
      </c>
      <c r="B95" s="60" t="s">
        <v>374</v>
      </c>
    </row>
    <row r="96" spans="1:2" ht="15.75" customHeight="1" x14ac:dyDescent="0.25">
      <c r="A96" s="59">
        <v>306</v>
      </c>
      <c r="B96" s="60" t="s">
        <v>374</v>
      </c>
    </row>
    <row r="97" spans="1:2" ht="15.75" customHeight="1" x14ac:dyDescent="0.25">
      <c r="A97" s="59">
        <v>313</v>
      </c>
      <c r="B97" s="60" t="s">
        <v>374</v>
      </c>
    </row>
    <row r="98" spans="1:2" ht="15.75" customHeight="1" x14ac:dyDescent="0.25">
      <c r="A98" s="59">
        <v>337</v>
      </c>
      <c r="B98" s="60" t="s">
        <v>374</v>
      </c>
    </row>
    <row r="99" spans="1:2" ht="15.75" customHeight="1" x14ac:dyDescent="0.25">
      <c r="A99" s="59">
        <v>338</v>
      </c>
      <c r="B99" s="60" t="s">
        <v>374</v>
      </c>
    </row>
    <row r="100" spans="1:2" ht="15.75" customHeight="1" x14ac:dyDescent="0.25">
      <c r="A100" s="59" t="s">
        <v>375</v>
      </c>
      <c r="B100" s="60" t="s">
        <v>374</v>
      </c>
    </row>
    <row r="101" spans="1:2" ht="15.75" customHeight="1" x14ac:dyDescent="0.25">
      <c r="A101" s="59" t="s">
        <v>376</v>
      </c>
      <c r="B101" s="60" t="s">
        <v>374</v>
      </c>
    </row>
    <row r="102" spans="1:2" ht="15.75" customHeight="1" x14ac:dyDescent="0.25">
      <c r="A102" s="59" t="s">
        <v>377</v>
      </c>
      <c r="B102" s="60" t="s">
        <v>374</v>
      </c>
    </row>
    <row r="103" spans="1:2" ht="15.75" customHeight="1" x14ac:dyDescent="0.25">
      <c r="A103" s="59" t="s">
        <v>378</v>
      </c>
      <c r="B103" s="60" t="s">
        <v>374</v>
      </c>
    </row>
    <row r="104" spans="1:2" ht="15.75" customHeight="1" x14ac:dyDescent="0.25">
      <c r="A104" s="59">
        <v>358</v>
      </c>
      <c r="B104" s="60" t="s">
        <v>374</v>
      </c>
    </row>
    <row r="105" spans="1:2" ht="15.75" customHeight="1" x14ac:dyDescent="0.25">
      <c r="A105" s="59">
        <v>9</v>
      </c>
      <c r="B105" s="60" t="s">
        <v>379</v>
      </c>
    </row>
    <row r="106" spans="1:2" ht="15.75" customHeight="1" x14ac:dyDescent="0.25">
      <c r="A106" s="59">
        <v>12</v>
      </c>
      <c r="B106" s="60" t="s">
        <v>379</v>
      </c>
    </row>
    <row r="107" spans="1:2" ht="15.75" customHeight="1" x14ac:dyDescent="0.25">
      <c r="A107" s="59">
        <v>18</v>
      </c>
      <c r="B107" s="60" t="s">
        <v>379</v>
      </c>
    </row>
    <row r="108" spans="1:2" ht="15.75" customHeight="1" x14ac:dyDescent="0.25">
      <c r="A108" s="59">
        <v>96</v>
      </c>
      <c r="B108" s="60" t="s">
        <v>379</v>
      </c>
    </row>
    <row r="109" spans="1:2" ht="15.75" customHeight="1" x14ac:dyDescent="0.25">
      <c r="A109" s="59">
        <v>123</v>
      </c>
      <c r="B109" s="60" t="s">
        <v>379</v>
      </c>
    </row>
    <row r="110" spans="1:2" ht="15.75" customHeight="1" x14ac:dyDescent="0.25">
      <c r="A110" s="61">
        <v>200</v>
      </c>
      <c r="B110" s="60" t="s">
        <v>379</v>
      </c>
    </row>
    <row r="111" spans="1:2" ht="15.75" customHeight="1" x14ac:dyDescent="0.25">
      <c r="A111" s="59">
        <v>207</v>
      </c>
      <c r="B111" s="60" t="s">
        <v>379</v>
      </c>
    </row>
    <row r="112" spans="1:2" ht="15.75" customHeight="1" x14ac:dyDescent="0.25">
      <c r="A112" s="61">
        <v>208</v>
      </c>
      <c r="B112" s="60" t="s">
        <v>379</v>
      </c>
    </row>
    <row r="113" spans="1:2" ht="15.75" customHeight="1" x14ac:dyDescent="0.25">
      <c r="A113" s="59">
        <v>233</v>
      </c>
      <c r="B113" s="60" t="s">
        <v>379</v>
      </c>
    </row>
    <row r="114" spans="1:2" ht="15.75" customHeight="1" x14ac:dyDescent="0.25">
      <c r="A114" s="59">
        <v>235</v>
      </c>
      <c r="B114" s="60" t="s">
        <v>379</v>
      </c>
    </row>
    <row r="115" spans="1:2" ht="15.75" customHeight="1" x14ac:dyDescent="0.25">
      <c r="A115" s="59" t="s">
        <v>380</v>
      </c>
      <c r="B115" s="60" t="s">
        <v>379</v>
      </c>
    </row>
    <row r="116" spans="1:2" ht="15.75" customHeight="1" x14ac:dyDescent="0.25">
      <c r="A116" s="59" t="s">
        <v>381</v>
      </c>
      <c r="B116" s="60" t="s">
        <v>379</v>
      </c>
    </row>
    <row r="117" spans="1:2" ht="15.75" customHeight="1" x14ac:dyDescent="0.25">
      <c r="A117" s="59" t="s">
        <v>382</v>
      </c>
      <c r="B117" s="60" t="s">
        <v>379</v>
      </c>
    </row>
    <row r="118" spans="1:2" ht="15.75" customHeight="1" x14ac:dyDescent="0.25">
      <c r="A118" s="59">
        <v>121</v>
      </c>
      <c r="B118" s="60" t="s">
        <v>383</v>
      </c>
    </row>
    <row r="119" spans="1:2" ht="15.75" customHeight="1" x14ac:dyDescent="0.25">
      <c r="A119" s="59">
        <v>124</v>
      </c>
      <c r="B119" s="60" t="s">
        <v>383</v>
      </c>
    </row>
    <row r="120" spans="1:2" ht="15.75" customHeight="1" x14ac:dyDescent="0.25">
      <c r="A120" s="59">
        <v>160</v>
      </c>
      <c r="B120" s="60" t="s">
        <v>383</v>
      </c>
    </row>
    <row r="121" spans="1:2" ht="15.75" customHeight="1" x14ac:dyDescent="0.25">
      <c r="A121" s="59">
        <v>161</v>
      </c>
      <c r="B121" s="60" t="s">
        <v>383</v>
      </c>
    </row>
    <row r="122" spans="1:2" ht="15.75" customHeight="1" x14ac:dyDescent="0.25">
      <c r="A122" s="59">
        <v>162</v>
      </c>
      <c r="B122" s="60" t="s">
        <v>383</v>
      </c>
    </row>
    <row r="123" spans="1:2" ht="15.75" customHeight="1" x14ac:dyDescent="0.25">
      <c r="A123" s="59">
        <v>163</v>
      </c>
      <c r="B123" s="60" t="s">
        <v>383</v>
      </c>
    </row>
    <row r="124" spans="1:2" ht="15.75" customHeight="1" x14ac:dyDescent="0.25">
      <c r="A124" s="59">
        <v>164</v>
      </c>
      <c r="B124" s="60" t="s">
        <v>383</v>
      </c>
    </row>
    <row r="125" spans="1:2" ht="15.75" customHeight="1" x14ac:dyDescent="0.25">
      <c r="A125" s="61">
        <v>165</v>
      </c>
      <c r="B125" s="60" t="s">
        <v>383</v>
      </c>
    </row>
    <row r="126" spans="1:2" ht="15.75" customHeight="1" x14ac:dyDescent="0.25">
      <c r="A126" s="59">
        <v>166</v>
      </c>
      <c r="B126" s="60" t="s">
        <v>383</v>
      </c>
    </row>
    <row r="127" spans="1:2" ht="15.75" customHeight="1" x14ac:dyDescent="0.25">
      <c r="A127" s="59">
        <v>188</v>
      </c>
      <c r="B127" s="60" t="s">
        <v>383</v>
      </c>
    </row>
    <row r="128" spans="1:2" ht="15.75" customHeight="1" x14ac:dyDescent="0.25">
      <c r="A128" s="59">
        <v>223</v>
      </c>
      <c r="B128" s="60" t="s">
        <v>383</v>
      </c>
    </row>
    <row r="129" spans="1:2" ht="15.75" customHeight="1" x14ac:dyDescent="0.25">
      <c r="A129" s="59">
        <v>225</v>
      </c>
      <c r="B129" s="60" t="s">
        <v>383</v>
      </c>
    </row>
    <row r="130" spans="1:2" ht="15.75" customHeight="1" x14ac:dyDescent="0.25">
      <c r="A130" s="61">
        <v>229</v>
      </c>
      <c r="B130" s="60" t="s">
        <v>383</v>
      </c>
    </row>
    <row r="131" spans="1:2" ht="15.75" customHeight="1" x14ac:dyDescent="0.25">
      <c r="A131" s="61">
        <v>234</v>
      </c>
      <c r="B131" s="60" t="s">
        <v>383</v>
      </c>
    </row>
    <row r="132" spans="1:2" ht="15.75" customHeight="1" x14ac:dyDescent="0.25">
      <c r="A132" s="59">
        <v>268</v>
      </c>
      <c r="B132" s="60" t="s">
        <v>383</v>
      </c>
    </row>
    <row r="133" spans="1:2" ht="15.75" customHeight="1" x14ac:dyDescent="0.25">
      <c r="A133" s="59">
        <v>291</v>
      </c>
      <c r="B133" s="60" t="s">
        <v>383</v>
      </c>
    </row>
    <row r="134" spans="1:2" ht="15.75" customHeight="1" x14ac:dyDescent="0.25">
      <c r="A134" s="59">
        <v>315</v>
      </c>
      <c r="B134" s="60" t="s">
        <v>383</v>
      </c>
    </row>
    <row r="135" spans="1:2" ht="15.75" customHeight="1" x14ac:dyDescent="0.25">
      <c r="A135" s="59">
        <v>316</v>
      </c>
      <c r="B135" s="60" t="s">
        <v>383</v>
      </c>
    </row>
    <row r="136" spans="1:2" ht="15.75" customHeight="1" x14ac:dyDescent="0.25">
      <c r="A136" s="61" t="s">
        <v>384</v>
      </c>
      <c r="B136" s="60" t="s">
        <v>383</v>
      </c>
    </row>
    <row r="137" spans="1:2" ht="15.75" customHeight="1" x14ac:dyDescent="0.25">
      <c r="A137" s="61" t="s">
        <v>385</v>
      </c>
      <c r="B137" s="60" t="s">
        <v>383</v>
      </c>
    </row>
    <row r="138" spans="1:2" ht="15.75" customHeight="1" x14ac:dyDescent="0.25">
      <c r="A138" s="61" t="s">
        <v>386</v>
      </c>
      <c r="B138" s="60" t="s">
        <v>383</v>
      </c>
    </row>
    <row r="139" spans="1:2" ht="15.75" customHeight="1" x14ac:dyDescent="0.25">
      <c r="A139" s="59">
        <v>63</v>
      </c>
      <c r="B139" s="60" t="s">
        <v>387</v>
      </c>
    </row>
    <row r="140" spans="1:2" ht="15.75" customHeight="1" x14ac:dyDescent="0.25">
      <c r="A140" s="59">
        <v>64</v>
      </c>
      <c r="B140" s="60" t="s">
        <v>387</v>
      </c>
    </row>
    <row r="141" spans="1:2" ht="15.75" customHeight="1" x14ac:dyDescent="0.25">
      <c r="A141" s="62">
        <v>171</v>
      </c>
      <c r="B141" s="60" t="s">
        <v>387</v>
      </c>
    </row>
    <row r="142" spans="1:2" ht="15.75" customHeight="1" x14ac:dyDescent="0.25">
      <c r="A142" s="59">
        <v>172</v>
      </c>
      <c r="B142" s="60" t="s">
        <v>387</v>
      </c>
    </row>
    <row r="143" spans="1:2" ht="15.75" customHeight="1" x14ac:dyDescent="0.25">
      <c r="A143" s="59">
        <v>175</v>
      </c>
      <c r="B143" s="60" t="s">
        <v>387</v>
      </c>
    </row>
    <row r="144" spans="1:2" ht="15.75" customHeight="1" x14ac:dyDescent="0.25">
      <c r="A144" s="59">
        <v>176</v>
      </c>
      <c r="B144" s="60" t="s">
        <v>387</v>
      </c>
    </row>
    <row r="145" spans="1:2" ht="15.75" customHeight="1" x14ac:dyDescent="0.25">
      <c r="A145" s="59">
        <v>177</v>
      </c>
      <c r="B145" s="60" t="s">
        <v>387</v>
      </c>
    </row>
    <row r="146" spans="1:2" ht="15.75" customHeight="1" x14ac:dyDescent="0.25">
      <c r="A146" s="59">
        <v>178</v>
      </c>
      <c r="B146" s="60" t="s">
        <v>387</v>
      </c>
    </row>
    <row r="147" spans="1:2" ht="15.75" customHeight="1" x14ac:dyDescent="0.25">
      <c r="A147" s="59">
        <v>195</v>
      </c>
      <c r="B147" s="60" t="s">
        <v>387</v>
      </c>
    </row>
    <row r="148" spans="1:2" ht="15.75" customHeight="1" x14ac:dyDescent="0.25">
      <c r="A148" s="59">
        <v>221</v>
      </c>
      <c r="B148" s="60" t="s">
        <v>387</v>
      </c>
    </row>
    <row r="149" spans="1:2" ht="15.75" customHeight="1" x14ac:dyDescent="0.25">
      <c r="A149" s="59">
        <v>222</v>
      </c>
      <c r="B149" s="60" t="s">
        <v>387</v>
      </c>
    </row>
    <row r="150" spans="1:2" ht="15.75" customHeight="1" x14ac:dyDescent="0.25">
      <c r="A150" s="59">
        <v>230</v>
      </c>
      <c r="B150" s="60" t="s">
        <v>387</v>
      </c>
    </row>
    <row r="151" spans="1:2" ht="15.75" customHeight="1" x14ac:dyDescent="0.25">
      <c r="A151" s="59">
        <v>245</v>
      </c>
      <c r="B151" s="60" t="s">
        <v>387</v>
      </c>
    </row>
    <row r="152" spans="1:2" ht="15.75" customHeight="1" x14ac:dyDescent="0.25">
      <c r="A152" s="59">
        <v>275</v>
      </c>
      <c r="B152" s="60" t="s">
        <v>387</v>
      </c>
    </row>
    <row r="153" spans="1:2" ht="15.75" customHeight="1" x14ac:dyDescent="0.25">
      <c r="A153" s="61">
        <v>280</v>
      </c>
      <c r="B153" s="60" t="s">
        <v>387</v>
      </c>
    </row>
    <row r="154" spans="1:2" ht="15.75" customHeight="1" x14ac:dyDescent="0.25">
      <c r="A154" s="61">
        <v>311</v>
      </c>
      <c r="B154" s="60" t="s">
        <v>387</v>
      </c>
    </row>
    <row r="155" spans="1:2" ht="15.75" customHeight="1" x14ac:dyDescent="0.25">
      <c r="A155" s="59">
        <v>357</v>
      </c>
      <c r="B155" s="60" t="s">
        <v>387</v>
      </c>
    </row>
    <row r="156" spans="1:2" ht="15.75" customHeight="1" x14ac:dyDescent="0.25">
      <c r="A156" s="59" t="s">
        <v>388</v>
      </c>
      <c r="B156" s="60" t="s">
        <v>387</v>
      </c>
    </row>
    <row r="157" spans="1:2" ht="15.75" customHeight="1" x14ac:dyDescent="0.25">
      <c r="A157" s="59" t="s">
        <v>389</v>
      </c>
      <c r="B157" s="60" t="s">
        <v>387</v>
      </c>
    </row>
    <row r="158" spans="1:2" ht="15.75" customHeight="1" x14ac:dyDescent="0.25">
      <c r="A158" s="59" t="s">
        <v>390</v>
      </c>
      <c r="B158" s="60" t="s">
        <v>387</v>
      </c>
    </row>
    <row r="159" spans="1:2" ht="15.75" customHeight="1" x14ac:dyDescent="0.25">
      <c r="A159" s="59" t="s">
        <v>391</v>
      </c>
      <c r="B159" s="60" t="s">
        <v>387</v>
      </c>
    </row>
    <row r="160" spans="1:2" ht="15.75" customHeight="1" x14ac:dyDescent="0.25">
      <c r="A160" s="59" t="s">
        <v>392</v>
      </c>
      <c r="B160" s="60" t="s">
        <v>387</v>
      </c>
    </row>
    <row r="161" spans="1:2" ht="15.75" customHeight="1" x14ac:dyDescent="0.25">
      <c r="A161" s="59">
        <v>43</v>
      </c>
      <c r="B161" s="60" t="s">
        <v>393</v>
      </c>
    </row>
    <row r="162" spans="1:2" ht="15.75" customHeight="1" x14ac:dyDescent="0.25">
      <c r="A162" s="62">
        <v>44</v>
      </c>
      <c r="B162" s="60" t="s">
        <v>393</v>
      </c>
    </row>
    <row r="163" spans="1:2" ht="15.75" customHeight="1" x14ac:dyDescent="0.25">
      <c r="A163" s="62">
        <v>45</v>
      </c>
      <c r="B163" s="60" t="s">
        <v>393</v>
      </c>
    </row>
    <row r="164" spans="1:2" ht="15.75" customHeight="1" x14ac:dyDescent="0.25">
      <c r="A164" s="59">
        <v>46</v>
      </c>
      <c r="B164" s="60" t="s">
        <v>393</v>
      </c>
    </row>
    <row r="165" spans="1:2" ht="15.75" customHeight="1" x14ac:dyDescent="0.25">
      <c r="A165" s="59">
        <v>47</v>
      </c>
      <c r="B165" s="60" t="s">
        <v>393</v>
      </c>
    </row>
    <row r="166" spans="1:2" ht="15.75" customHeight="1" x14ac:dyDescent="0.25">
      <c r="A166" s="59">
        <v>48</v>
      </c>
      <c r="B166" s="60" t="s">
        <v>393</v>
      </c>
    </row>
    <row r="167" spans="1:2" ht="15.75" customHeight="1" x14ac:dyDescent="0.25">
      <c r="A167" s="59">
        <v>49</v>
      </c>
      <c r="B167" s="60" t="s">
        <v>393</v>
      </c>
    </row>
    <row r="168" spans="1:2" ht="15.75" customHeight="1" x14ac:dyDescent="0.25">
      <c r="A168" s="59">
        <v>111</v>
      </c>
      <c r="B168" s="60" t="s">
        <v>393</v>
      </c>
    </row>
    <row r="169" spans="1:2" ht="15.75" customHeight="1" x14ac:dyDescent="0.25">
      <c r="A169" s="59">
        <v>112</v>
      </c>
      <c r="B169" s="60" t="s">
        <v>393</v>
      </c>
    </row>
    <row r="170" spans="1:2" ht="15.75" customHeight="1" x14ac:dyDescent="0.25">
      <c r="A170" s="59">
        <v>250</v>
      </c>
      <c r="B170" s="60" t="s">
        <v>393</v>
      </c>
    </row>
    <row r="171" spans="1:2" ht="15.75" customHeight="1" x14ac:dyDescent="0.25">
      <c r="A171" s="59">
        <v>309</v>
      </c>
      <c r="B171" s="60" t="s">
        <v>393</v>
      </c>
    </row>
    <row r="172" spans="1:2" ht="15.75" customHeight="1" x14ac:dyDescent="0.25">
      <c r="A172" s="59">
        <v>318</v>
      </c>
      <c r="B172" s="60" t="s">
        <v>393</v>
      </c>
    </row>
    <row r="173" spans="1:2" ht="15.75" customHeight="1" x14ac:dyDescent="0.25">
      <c r="A173" s="59" t="s">
        <v>394</v>
      </c>
      <c r="B173" s="60" t="s">
        <v>393</v>
      </c>
    </row>
    <row r="174" spans="1:2" ht="15.75" customHeight="1" x14ac:dyDescent="0.25">
      <c r="A174" s="59" t="s">
        <v>395</v>
      </c>
      <c r="B174" s="60" t="s">
        <v>393</v>
      </c>
    </row>
    <row r="175" spans="1:2" ht="15.75" customHeight="1" x14ac:dyDescent="0.25">
      <c r="A175" s="59">
        <v>23</v>
      </c>
      <c r="B175" s="60" t="s">
        <v>396</v>
      </c>
    </row>
    <row r="176" spans="1:2" ht="15.75" customHeight="1" x14ac:dyDescent="0.25">
      <c r="A176" s="59">
        <v>28</v>
      </c>
      <c r="B176" s="60" t="s">
        <v>396</v>
      </c>
    </row>
    <row r="177" spans="1:2" ht="15.75" customHeight="1" x14ac:dyDescent="0.25">
      <c r="A177" s="59">
        <v>149</v>
      </c>
      <c r="B177" s="60" t="s">
        <v>396</v>
      </c>
    </row>
    <row r="178" spans="1:2" ht="15.75" customHeight="1" x14ac:dyDescent="0.25">
      <c r="A178" s="59">
        <v>150</v>
      </c>
      <c r="B178" s="60" t="s">
        <v>396</v>
      </c>
    </row>
    <row r="179" spans="1:2" ht="15.75" customHeight="1" x14ac:dyDescent="0.25">
      <c r="A179" s="59">
        <v>152</v>
      </c>
      <c r="B179" s="60" t="s">
        <v>396</v>
      </c>
    </row>
    <row r="180" spans="1:2" ht="15.75" customHeight="1" x14ac:dyDescent="0.25">
      <c r="A180" s="59">
        <v>202</v>
      </c>
      <c r="B180" s="60" t="s">
        <v>396</v>
      </c>
    </row>
    <row r="181" spans="1:2" ht="15.75" customHeight="1" x14ac:dyDescent="0.25">
      <c r="A181" s="59">
        <v>206</v>
      </c>
      <c r="B181" s="60" t="s">
        <v>396</v>
      </c>
    </row>
    <row r="182" spans="1:2" ht="15.75" customHeight="1" x14ac:dyDescent="0.25">
      <c r="A182" s="59">
        <v>262</v>
      </c>
      <c r="B182" s="60" t="s">
        <v>396</v>
      </c>
    </row>
    <row r="183" spans="1:2" ht="15.75" customHeight="1" x14ac:dyDescent="0.25">
      <c r="A183" s="59">
        <v>331</v>
      </c>
      <c r="B183" s="60" t="s">
        <v>396</v>
      </c>
    </row>
    <row r="184" spans="1:2" ht="15.75" customHeight="1" x14ac:dyDescent="0.25">
      <c r="A184" s="59">
        <v>332</v>
      </c>
      <c r="B184" s="60" t="s">
        <v>396</v>
      </c>
    </row>
    <row r="185" spans="1:2" ht="15.75" customHeight="1" x14ac:dyDescent="0.25">
      <c r="A185" s="59">
        <v>333</v>
      </c>
      <c r="B185" s="60" t="s">
        <v>396</v>
      </c>
    </row>
    <row r="186" spans="1:2" ht="15.75" customHeight="1" x14ac:dyDescent="0.25">
      <c r="A186" s="59">
        <v>334</v>
      </c>
      <c r="B186" s="60" t="s">
        <v>396</v>
      </c>
    </row>
    <row r="187" spans="1:2" ht="15.75" customHeight="1" x14ac:dyDescent="0.25">
      <c r="A187" s="59">
        <v>335</v>
      </c>
      <c r="B187" s="60" t="s">
        <v>396</v>
      </c>
    </row>
    <row r="188" spans="1:2" ht="15.75" customHeight="1" x14ac:dyDescent="0.25">
      <c r="A188" s="63">
        <v>350</v>
      </c>
      <c r="B188" s="60" t="s">
        <v>396</v>
      </c>
    </row>
    <row r="189" spans="1:2" ht="15.75" customHeight="1" x14ac:dyDescent="0.25">
      <c r="A189" s="59" t="s">
        <v>397</v>
      </c>
      <c r="B189" s="60" t="s">
        <v>396</v>
      </c>
    </row>
    <row r="190" spans="1:2" ht="15.75" customHeight="1" x14ac:dyDescent="0.25">
      <c r="A190" s="59" t="s">
        <v>398</v>
      </c>
      <c r="B190" s="60" t="s">
        <v>396</v>
      </c>
    </row>
    <row r="191" spans="1:2" ht="15.75" customHeight="1" x14ac:dyDescent="0.25">
      <c r="A191" s="61">
        <v>252</v>
      </c>
      <c r="B191" s="60" t="s">
        <v>396</v>
      </c>
    </row>
    <row r="192" spans="1:2" ht="15.75" customHeight="1" x14ac:dyDescent="0.25">
      <c r="A192" s="59">
        <v>51</v>
      </c>
      <c r="B192" s="60" t="s">
        <v>399</v>
      </c>
    </row>
    <row r="193" spans="1:2" ht="15.75" customHeight="1" x14ac:dyDescent="0.25">
      <c r="A193" s="59">
        <v>52</v>
      </c>
      <c r="B193" s="60" t="s">
        <v>399</v>
      </c>
    </row>
    <row r="194" spans="1:2" ht="15.75" customHeight="1" x14ac:dyDescent="0.25">
      <c r="A194" s="59">
        <v>53</v>
      </c>
      <c r="B194" s="60" t="s">
        <v>399</v>
      </c>
    </row>
    <row r="195" spans="1:2" ht="15.75" customHeight="1" x14ac:dyDescent="0.25">
      <c r="A195" s="59">
        <v>54</v>
      </c>
      <c r="B195" s="60" t="s">
        <v>399</v>
      </c>
    </row>
    <row r="196" spans="1:2" ht="15.75" customHeight="1" x14ac:dyDescent="0.25">
      <c r="A196" s="59">
        <v>55</v>
      </c>
      <c r="B196" s="60" t="s">
        <v>399</v>
      </c>
    </row>
    <row r="197" spans="1:2" ht="15.75" customHeight="1" x14ac:dyDescent="0.25">
      <c r="A197" s="59">
        <v>56</v>
      </c>
      <c r="B197" s="60" t="s">
        <v>399</v>
      </c>
    </row>
    <row r="198" spans="1:2" ht="15.75" customHeight="1" x14ac:dyDescent="0.25">
      <c r="A198" s="59">
        <v>58</v>
      </c>
      <c r="B198" s="60" t="s">
        <v>399</v>
      </c>
    </row>
    <row r="199" spans="1:2" ht="15.75" customHeight="1" x14ac:dyDescent="0.25">
      <c r="A199" s="59">
        <v>79</v>
      </c>
      <c r="B199" s="60" t="s">
        <v>399</v>
      </c>
    </row>
    <row r="200" spans="1:2" ht="15.75" customHeight="1" x14ac:dyDescent="0.25">
      <c r="A200" s="59">
        <v>80</v>
      </c>
      <c r="B200" s="60" t="s">
        <v>399</v>
      </c>
    </row>
    <row r="201" spans="1:2" ht="15.75" customHeight="1" x14ac:dyDescent="0.25">
      <c r="A201" s="59">
        <v>81</v>
      </c>
      <c r="B201" s="60" t="s">
        <v>399</v>
      </c>
    </row>
    <row r="202" spans="1:2" ht="15.75" customHeight="1" x14ac:dyDescent="0.25">
      <c r="A202" s="59">
        <v>82</v>
      </c>
      <c r="B202" s="60" t="s">
        <v>399</v>
      </c>
    </row>
    <row r="203" spans="1:2" ht="15.75" customHeight="1" x14ac:dyDescent="0.25">
      <c r="A203" s="59">
        <v>87</v>
      </c>
      <c r="B203" s="60" t="s">
        <v>399</v>
      </c>
    </row>
    <row r="204" spans="1:2" ht="15.75" customHeight="1" x14ac:dyDescent="0.25">
      <c r="A204" s="59">
        <v>90</v>
      </c>
      <c r="B204" s="60" t="s">
        <v>399</v>
      </c>
    </row>
    <row r="205" spans="1:2" ht="15.75" customHeight="1" x14ac:dyDescent="0.25">
      <c r="A205" s="59">
        <v>92</v>
      </c>
      <c r="B205" s="60" t="s">
        <v>399</v>
      </c>
    </row>
    <row r="206" spans="1:2" ht="15.75" customHeight="1" x14ac:dyDescent="0.25">
      <c r="A206" s="59">
        <v>95</v>
      </c>
      <c r="B206" s="60" t="s">
        <v>399</v>
      </c>
    </row>
    <row r="207" spans="1:2" ht="15.75" customHeight="1" x14ac:dyDescent="0.25">
      <c r="A207" s="59">
        <v>210</v>
      </c>
      <c r="B207" s="60" t="s">
        <v>399</v>
      </c>
    </row>
    <row r="208" spans="1:2" ht="15.75" customHeight="1" x14ac:dyDescent="0.25">
      <c r="A208" s="59">
        <v>296</v>
      </c>
      <c r="B208" s="60" t="s">
        <v>399</v>
      </c>
    </row>
    <row r="209" spans="1:2" ht="15.75" customHeight="1" x14ac:dyDescent="0.25">
      <c r="A209" s="59">
        <v>341</v>
      </c>
      <c r="B209" s="60" t="s">
        <v>399</v>
      </c>
    </row>
    <row r="210" spans="1:2" ht="15.75" customHeight="1" x14ac:dyDescent="0.25">
      <c r="A210" s="62" t="s">
        <v>400</v>
      </c>
      <c r="B210" s="60" t="s">
        <v>399</v>
      </c>
    </row>
    <row r="211" spans="1:2" ht="15.75" customHeight="1" x14ac:dyDescent="0.25">
      <c r="A211" s="59">
        <v>327</v>
      </c>
      <c r="B211" s="60" t="s">
        <v>399</v>
      </c>
    </row>
    <row r="212" spans="1:2" ht="15.75" customHeight="1" x14ac:dyDescent="0.25">
      <c r="A212" s="59">
        <v>328</v>
      </c>
      <c r="B212" s="60" t="s">
        <v>399</v>
      </c>
    </row>
    <row r="213" spans="1:2" ht="15.75" customHeight="1" x14ac:dyDescent="0.25">
      <c r="A213" s="61" t="s">
        <v>401</v>
      </c>
      <c r="B213" s="60" t="s">
        <v>399</v>
      </c>
    </row>
    <row r="214" spans="1:2" ht="15.75" customHeight="1" x14ac:dyDescent="0.25">
      <c r="A214" s="59">
        <v>325</v>
      </c>
      <c r="B214" s="60" t="s">
        <v>399</v>
      </c>
    </row>
    <row r="215" spans="1:2" ht="15.75" customHeight="1" x14ac:dyDescent="0.25">
      <c r="A215" s="59">
        <v>326</v>
      </c>
      <c r="B215" s="60" t="s">
        <v>399</v>
      </c>
    </row>
    <row r="216" spans="1:2" ht="15.75" customHeight="1" x14ac:dyDescent="0.25">
      <c r="A216" s="59">
        <v>329</v>
      </c>
      <c r="B216" s="60" t="s">
        <v>399</v>
      </c>
    </row>
    <row r="217" spans="1:2" ht="15.75" customHeight="1" x14ac:dyDescent="0.25">
      <c r="A217" s="59">
        <v>2</v>
      </c>
      <c r="B217" s="60" t="s">
        <v>402</v>
      </c>
    </row>
    <row r="218" spans="1:2" ht="15.75" customHeight="1" x14ac:dyDescent="0.25">
      <c r="A218" s="59">
        <v>4</v>
      </c>
      <c r="B218" s="60" t="s">
        <v>402</v>
      </c>
    </row>
    <row r="219" spans="1:2" ht="15.75" customHeight="1" x14ac:dyDescent="0.25">
      <c r="A219" s="59">
        <v>14</v>
      </c>
      <c r="B219" s="60" t="s">
        <v>402</v>
      </c>
    </row>
    <row r="220" spans="1:2" ht="15.75" customHeight="1" x14ac:dyDescent="0.25">
      <c r="A220" s="59">
        <v>16</v>
      </c>
      <c r="B220" s="60" t="s">
        <v>402</v>
      </c>
    </row>
    <row r="221" spans="1:2" ht="15.75" customHeight="1" x14ac:dyDescent="0.25">
      <c r="A221" s="59">
        <v>17</v>
      </c>
      <c r="B221" s="60" t="s">
        <v>402</v>
      </c>
    </row>
    <row r="222" spans="1:2" ht="15.75" customHeight="1" x14ac:dyDescent="0.25">
      <c r="A222" s="59">
        <v>50</v>
      </c>
      <c r="B222" s="60" t="s">
        <v>402</v>
      </c>
    </row>
    <row r="223" spans="1:2" ht="15.75" customHeight="1" x14ac:dyDescent="0.25">
      <c r="A223" s="59">
        <v>219</v>
      </c>
      <c r="B223" s="60" t="s">
        <v>402</v>
      </c>
    </row>
    <row r="224" spans="1:2" ht="15.75" customHeight="1" x14ac:dyDescent="0.25">
      <c r="A224" s="61">
        <v>293</v>
      </c>
      <c r="B224" s="60" t="s">
        <v>402</v>
      </c>
    </row>
    <row r="225" spans="1:2" ht="15.75" customHeight="1" x14ac:dyDescent="0.25">
      <c r="A225" s="59">
        <v>304</v>
      </c>
      <c r="B225" s="60" t="s">
        <v>402</v>
      </c>
    </row>
    <row r="226" spans="1:2" ht="15.75" customHeight="1" x14ac:dyDescent="0.25">
      <c r="A226" s="59">
        <v>307</v>
      </c>
      <c r="B226" s="60" t="s">
        <v>402</v>
      </c>
    </row>
    <row r="227" spans="1:2" ht="15.75" customHeight="1" x14ac:dyDescent="0.25">
      <c r="A227" s="59">
        <v>360</v>
      </c>
      <c r="B227" s="60" t="s">
        <v>402</v>
      </c>
    </row>
    <row r="228" spans="1:2" ht="15.75" customHeight="1" x14ac:dyDescent="0.25">
      <c r="A228" s="59">
        <v>361</v>
      </c>
      <c r="B228" s="60" t="s">
        <v>402</v>
      </c>
    </row>
    <row r="229" spans="1:2" ht="15.75" customHeight="1" x14ac:dyDescent="0.25">
      <c r="A229" s="62" t="s">
        <v>403</v>
      </c>
      <c r="B229" s="60" t="s">
        <v>402</v>
      </c>
    </row>
    <row r="230" spans="1:2" ht="15.75" customHeight="1" x14ac:dyDescent="0.25">
      <c r="A230" s="59" t="s">
        <v>404</v>
      </c>
      <c r="B230" s="60" t="s">
        <v>402</v>
      </c>
    </row>
    <row r="231" spans="1:2" ht="15.75" customHeight="1" x14ac:dyDescent="0.25">
      <c r="A231" s="59" t="s">
        <v>405</v>
      </c>
      <c r="B231" s="60" t="s">
        <v>402</v>
      </c>
    </row>
    <row r="232" spans="1:2" ht="15.75" customHeight="1" x14ac:dyDescent="0.25">
      <c r="A232" s="59">
        <v>295</v>
      </c>
      <c r="B232" s="60" t="s">
        <v>402</v>
      </c>
    </row>
    <row r="233" spans="1:2" ht="15.75" customHeight="1" x14ac:dyDescent="0.25">
      <c r="A233" s="59">
        <v>267</v>
      </c>
      <c r="B233" s="60" t="s">
        <v>402</v>
      </c>
    </row>
    <row r="234" spans="1:2" ht="15.75" customHeight="1" x14ac:dyDescent="0.25">
      <c r="A234" s="65">
        <v>367</v>
      </c>
      <c r="B234" s="60" t="s">
        <v>402</v>
      </c>
    </row>
    <row r="235" spans="1:2" ht="15.75" customHeight="1" x14ac:dyDescent="0.25">
      <c r="A235" s="59">
        <v>65</v>
      </c>
      <c r="B235" s="60" t="s">
        <v>406</v>
      </c>
    </row>
    <row r="236" spans="1:2" ht="15.75" customHeight="1" x14ac:dyDescent="0.25">
      <c r="A236" s="59">
        <v>66</v>
      </c>
      <c r="B236" s="60" t="s">
        <v>406</v>
      </c>
    </row>
    <row r="237" spans="1:2" ht="15.75" customHeight="1" x14ac:dyDescent="0.25">
      <c r="A237" s="59">
        <v>67</v>
      </c>
      <c r="B237" s="60" t="s">
        <v>406</v>
      </c>
    </row>
    <row r="238" spans="1:2" ht="15.75" customHeight="1" x14ac:dyDescent="0.25">
      <c r="A238" s="59">
        <v>68</v>
      </c>
      <c r="B238" s="60" t="s">
        <v>406</v>
      </c>
    </row>
    <row r="239" spans="1:2" ht="15.75" customHeight="1" x14ac:dyDescent="0.25">
      <c r="A239" s="59">
        <v>69</v>
      </c>
      <c r="B239" s="60" t="s">
        <v>406</v>
      </c>
    </row>
    <row r="240" spans="1:2" ht="15.75" customHeight="1" x14ac:dyDescent="0.25">
      <c r="A240" s="59">
        <v>319</v>
      </c>
      <c r="B240" s="60" t="s">
        <v>406</v>
      </c>
    </row>
    <row r="241" spans="1:2" ht="15.75" customHeight="1" x14ac:dyDescent="0.25">
      <c r="A241" s="59">
        <v>320</v>
      </c>
      <c r="B241" s="60" t="s">
        <v>406</v>
      </c>
    </row>
    <row r="242" spans="1:2" ht="15.75" customHeight="1" x14ac:dyDescent="0.25">
      <c r="A242" s="59">
        <v>342</v>
      </c>
      <c r="B242" s="60" t="s">
        <v>406</v>
      </c>
    </row>
    <row r="243" spans="1:2" ht="15.75" customHeight="1" x14ac:dyDescent="0.25">
      <c r="A243" s="61" t="s">
        <v>407</v>
      </c>
      <c r="B243" s="60" t="s">
        <v>406</v>
      </c>
    </row>
    <row r="244" spans="1:2" ht="15.75" customHeight="1" x14ac:dyDescent="0.25">
      <c r="A244" s="59">
        <v>300</v>
      </c>
      <c r="B244" s="60" t="s">
        <v>406</v>
      </c>
    </row>
    <row r="245" spans="1:2" ht="15.75" customHeight="1" x14ac:dyDescent="0.25">
      <c r="A245" s="59">
        <v>255</v>
      </c>
      <c r="B245" s="60" t="s">
        <v>406</v>
      </c>
    </row>
    <row r="246" spans="1:2" ht="15.75" customHeight="1" x14ac:dyDescent="0.25">
      <c r="A246" s="59">
        <v>321</v>
      </c>
      <c r="B246" s="60" t="s">
        <v>406</v>
      </c>
    </row>
    <row r="247" spans="1:2" ht="15.75" customHeight="1" x14ac:dyDescent="0.25">
      <c r="A247" s="61">
        <v>322</v>
      </c>
      <c r="B247" s="60" t="s">
        <v>406</v>
      </c>
    </row>
    <row r="248" spans="1:2" ht="15.75" customHeight="1" x14ac:dyDescent="0.25">
      <c r="A248" s="59">
        <v>19</v>
      </c>
      <c r="B248" s="60" t="s">
        <v>408</v>
      </c>
    </row>
    <row r="249" spans="1:2" ht="15.75" customHeight="1" x14ac:dyDescent="0.25">
      <c r="A249" s="59">
        <v>20</v>
      </c>
      <c r="B249" s="60" t="s">
        <v>408</v>
      </c>
    </row>
    <row r="250" spans="1:2" ht="15.75" customHeight="1" x14ac:dyDescent="0.25">
      <c r="A250" s="59">
        <v>173</v>
      </c>
      <c r="B250" s="60" t="s">
        <v>408</v>
      </c>
    </row>
    <row r="251" spans="1:2" ht="15.75" customHeight="1" x14ac:dyDescent="0.25">
      <c r="A251" s="61">
        <v>174</v>
      </c>
      <c r="B251" s="60" t="s">
        <v>408</v>
      </c>
    </row>
    <row r="252" spans="1:2" ht="15.75" customHeight="1" x14ac:dyDescent="0.25">
      <c r="A252" s="61">
        <v>192</v>
      </c>
      <c r="B252" s="60" t="s">
        <v>408</v>
      </c>
    </row>
    <row r="253" spans="1:2" ht="15.75" customHeight="1" x14ac:dyDescent="0.25">
      <c r="A253" s="59">
        <v>198</v>
      </c>
      <c r="B253" s="60" t="s">
        <v>408</v>
      </c>
    </row>
    <row r="254" spans="1:2" ht="15.75" customHeight="1" x14ac:dyDescent="0.25">
      <c r="A254" s="59">
        <v>271</v>
      </c>
      <c r="B254" s="60" t="s">
        <v>408</v>
      </c>
    </row>
    <row r="255" spans="1:2" ht="15.75" customHeight="1" x14ac:dyDescent="0.25">
      <c r="A255" s="59" t="s">
        <v>409</v>
      </c>
      <c r="B255" s="60" t="s">
        <v>408</v>
      </c>
    </row>
    <row r="256" spans="1:2" ht="15.75" customHeight="1" x14ac:dyDescent="0.25">
      <c r="A256" s="59">
        <v>298</v>
      </c>
      <c r="B256" s="60" t="s">
        <v>408</v>
      </c>
    </row>
    <row r="257" spans="1:2" ht="15.75" customHeight="1" x14ac:dyDescent="0.25">
      <c r="A257" s="59">
        <v>310</v>
      </c>
      <c r="B257" s="60" t="s">
        <v>408</v>
      </c>
    </row>
    <row r="258" spans="1:2" ht="15.75" customHeight="1" x14ac:dyDescent="0.25">
      <c r="A258" s="62" t="s">
        <v>410</v>
      </c>
      <c r="B258" s="60" t="s">
        <v>408</v>
      </c>
    </row>
    <row r="259" spans="1:2" ht="15.75" customHeight="1" x14ac:dyDescent="0.25">
      <c r="A259" s="63">
        <v>346</v>
      </c>
      <c r="B259" s="60" t="s">
        <v>408</v>
      </c>
    </row>
    <row r="260" spans="1:2" ht="15.75" customHeight="1" x14ac:dyDescent="0.25">
      <c r="A260" s="59">
        <v>352</v>
      </c>
      <c r="B260" s="60" t="s">
        <v>408</v>
      </c>
    </row>
    <row r="261" spans="1:2" ht="15.75" customHeight="1" x14ac:dyDescent="0.25">
      <c r="A261" s="59">
        <v>287</v>
      </c>
      <c r="B261" s="60" t="s">
        <v>408</v>
      </c>
    </row>
    <row r="262" spans="1:2" ht="15.75" customHeight="1" x14ac:dyDescent="0.25">
      <c r="A262" s="59">
        <v>288</v>
      </c>
      <c r="B262" s="60" t="s">
        <v>408</v>
      </c>
    </row>
    <row r="263" spans="1:2" ht="15.75" customHeight="1" x14ac:dyDescent="0.25">
      <c r="A263" s="59">
        <v>297</v>
      </c>
      <c r="B263" s="60" t="s">
        <v>408</v>
      </c>
    </row>
    <row r="264" spans="1:2" ht="15.75" customHeight="1" x14ac:dyDescent="0.25">
      <c r="A264" s="59">
        <v>273</v>
      </c>
      <c r="B264" s="60" t="s">
        <v>408</v>
      </c>
    </row>
    <row r="265" spans="1:2" ht="15.75" customHeight="1" x14ac:dyDescent="0.25">
      <c r="A265" s="63">
        <v>347</v>
      </c>
      <c r="B265" s="60" t="s">
        <v>408</v>
      </c>
    </row>
    <row r="266" spans="1:2" ht="15.75" customHeight="1" x14ac:dyDescent="0.25">
      <c r="A266" s="59">
        <v>356</v>
      </c>
      <c r="B266" s="60" t="s">
        <v>408</v>
      </c>
    </row>
    <row r="267" spans="1:2" ht="15.75" customHeight="1" x14ac:dyDescent="0.25">
      <c r="A267" s="65">
        <v>354</v>
      </c>
      <c r="B267" s="60" t="s">
        <v>408</v>
      </c>
    </row>
    <row r="268" spans="1:2" ht="15.75" customHeight="1" x14ac:dyDescent="0.25">
      <c r="A268" s="59">
        <v>31</v>
      </c>
      <c r="B268" s="60" t="s">
        <v>411</v>
      </c>
    </row>
    <row r="269" spans="1:2" ht="15.75" customHeight="1" x14ac:dyDescent="0.25">
      <c r="A269" s="59">
        <v>35</v>
      </c>
      <c r="B269" s="60" t="s">
        <v>411</v>
      </c>
    </row>
    <row r="270" spans="1:2" ht="15.75" customHeight="1" x14ac:dyDescent="0.25">
      <c r="A270" s="59">
        <v>37</v>
      </c>
      <c r="B270" s="60" t="s">
        <v>411</v>
      </c>
    </row>
    <row r="271" spans="1:2" ht="15.75" customHeight="1" x14ac:dyDescent="0.25">
      <c r="A271" s="59">
        <v>41</v>
      </c>
      <c r="B271" s="60" t="s">
        <v>411</v>
      </c>
    </row>
    <row r="272" spans="1:2" ht="15.75" customHeight="1" x14ac:dyDescent="0.25">
      <c r="A272" s="62">
        <v>42</v>
      </c>
      <c r="B272" s="60" t="s">
        <v>411</v>
      </c>
    </row>
    <row r="273" spans="1:2" ht="15.75" customHeight="1" x14ac:dyDescent="0.25">
      <c r="A273" s="59">
        <v>89</v>
      </c>
      <c r="B273" s="60" t="s">
        <v>411</v>
      </c>
    </row>
    <row r="274" spans="1:2" ht="15.75" customHeight="1" x14ac:dyDescent="0.25">
      <c r="A274" s="59">
        <v>184</v>
      </c>
      <c r="B274" s="60" t="s">
        <v>411</v>
      </c>
    </row>
    <row r="275" spans="1:2" ht="15.75" customHeight="1" x14ac:dyDescent="0.25">
      <c r="A275" s="59">
        <v>196</v>
      </c>
      <c r="B275" s="60" t="s">
        <v>411</v>
      </c>
    </row>
    <row r="276" spans="1:2" ht="15.75" customHeight="1" x14ac:dyDescent="0.25">
      <c r="A276" s="59">
        <v>305</v>
      </c>
      <c r="B276" s="60" t="s">
        <v>411</v>
      </c>
    </row>
    <row r="277" spans="1:2" ht="15.75" customHeight="1" x14ac:dyDescent="0.25">
      <c r="A277" s="62">
        <v>5</v>
      </c>
      <c r="B277" s="60" t="s">
        <v>412</v>
      </c>
    </row>
    <row r="278" spans="1:2" ht="15.75" customHeight="1" x14ac:dyDescent="0.25">
      <c r="A278" s="59">
        <v>7</v>
      </c>
      <c r="B278" s="60" t="s">
        <v>412</v>
      </c>
    </row>
    <row r="279" spans="1:2" ht="15.75" customHeight="1" x14ac:dyDescent="0.25">
      <c r="A279" s="59">
        <v>8</v>
      </c>
      <c r="B279" s="60" t="s">
        <v>412</v>
      </c>
    </row>
    <row r="280" spans="1:2" ht="15.75" customHeight="1" x14ac:dyDescent="0.25">
      <c r="A280" s="59">
        <v>10</v>
      </c>
      <c r="B280" s="60" t="s">
        <v>412</v>
      </c>
    </row>
    <row r="281" spans="1:2" ht="15.75" customHeight="1" x14ac:dyDescent="0.25">
      <c r="A281" s="59">
        <v>11</v>
      </c>
      <c r="B281" s="60" t="s">
        <v>412</v>
      </c>
    </row>
    <row r="282" spans="1:2" ht="15.75" customHeight="1" x14ac:dyDescent="0.25">
      <c r="A282" s="59">
        <v>13</v>
      </c>
      <c r="B282" s="60" t="s">
        <v>412</v>
      </c>
    </row>
    <row r="283" spans="1:2" ht="15.75" customHeight="1" x14ac:dyDescent="0.25">
      <c r="A283" s="59">
        <v>15</v>
      </c>
      <c r="B283" s="60" t="s">
        <v>412</v>
      </c>
    </row>
    <row r="284" spans="1:2" ht="15.75" customHeight="1" x14ac:dyDescent="0.25">
      <c r="A284" s="59">
        <v>151</v>
      </c>
      <c r="B284" s="60" t="s">
        <v>412</v>
      </c>
    </row>
    <row r="285" spans="1:2" ht="15.75" customHeight="1" x14ac:dyDescent="0.25">
      <c r="A285" s="59">
        <v>187</v>
      </c>
      <c r="B285" s="60" t="s">
        <v>412</v>
      </c>
    </row>
    <row r="286" spans="1:2" ht="15.75" customHeight="1" x14ac:dyDescent="0.25">
      <c r="A286" s="59">
        <v>227</v>
      </c>
      <c r="B286" s="60" t="s">
        <v>412</v>
      </c>
    </row>
    <row r="287" spans="1:2" ht="15.75" customHeight="1" x14ac:dyDescent="0.25">
      <c r="A287" s="59" t="s">
        <v>413</v>
      </c>
      <c r="B287" s="60" t="s">
        <v>412</v>
      </c>
    </row>
    <row r="288" spans="1:2" ht="15.75" customHeight="1" x14ac:dyDescent="0.25">
      <c r="A288" s="59" t="s">
        <v>414</v>
      </c>
      <c r="B288" s="60" t="s">
        <v>412</v>
      </c>
    </row>
    <row r="289" spans="1:2" ht="15.75" customHeight="1" x14ac:dyDescent="0.25">
      <c r="A289" s="63">
        <v>349</v>
      </c>
      <c r="B289" s="60" t="s">
        <v>412</v>
      </c>
    </row>
    <row r="290" spans="1:2" ht="15.75" customHeight="1" x14ac:dyDescent="0.25">
      <c r="A290" s="59">
        <v>75</v>
      </c>
      <c r="B290" s="60" t="s">
        <v>415</v>
      </c>
    </row>
    <row r="291" spans="1:2" ht="15.75" customHeight="1" x14ac:dyDescent="0.25">
      <c r="A291" s="59">
        <v>76</v>
      </c>
      <c r="B291" s="60" t="s">
        <v>415</v>
      </c>
    </row>
    <row r="292" spans="1:2" ht="15.75" customHeight="1" x14ac:dyDescent="0.25">
      <c r="A292" s="59">
        <v>77</v>
      </c>
      <c r="B292" s="60" t="s">
        <v>415</v>
      </c>
    </row>
    <row r="293" spans="1:2" ht="15.75" customHeight="1" x14ac:dyDescent="0.25">
      <c r="A293" s="59">
        <v>125</v>
      </c>
      <c r="B293" s="60" t="s">
        <v>415</v>
      </c>
    </row>
    <row r="294" spans="1:2" ht="15.75" customHeight="1" x14ac:dyDescent="0.25">
      <c r="A294" s="59">
        <v>126</v>
      </c>
      <c r="B294" s="60" t="s">
        <v>415</v>
      </c>
    </row>
    <row r="295" spans="1:2" ht="15.75" customHeight="1" x14ac:dyDescent="0.25">
      <c r="A295" s="59">
        <v>127</v>
      </c>
      <c r="B295" s="60" t="s">
        <v>415</v>
      </c>
    </row>
    <row r="296" spans="1:2" ht="15.75" customHeight="1" x14ac:dyDescent="0.25">
      <c r="A296" s="59">
        <v>128</v>
      </c>
      <c r="B296" s="60" t="s">
        <v>415</v>
      </c>
    </row>
    <row r="297" spans="1:2" ht="15.75" customHeight="1" x14ac:dyDescent="0.25">
      <c r="A297" s="59">
        <v>130</v>
      </c>
      <c r="B297" s="60" t="s">
        <v>415</v>
      </c>
    </row>
    <row r="298" spans="1:2" ht="15.75" customHeight="1" x14ac:dyDescent="0.25">
      <c r="A298" s="62">
        <v>137</v>
      </c>
      <c r="B298" s="60" t="s">
        <v>415</v>
      </c>
    </row>
    <row r="299" spans="1:2" ht="15.75" customHeight="1" x14ac:dyDescent="0.25">
      <c r="A299" s="62">
        <v>142</v>
      </c>
      <c r="B299" s="60" t="s">
        <v>415</v>
      </c>
    </row>
    <row r="300" spans="1:2" ht="15.75" customHeight="1" x14ac:dyDescent="0.25">
      <c r="A300" s="59">
        <v>191</v>
      </c>
      <c r="B300" s="60" t="s">
        <v>415</v>
      </c>
    </row>
    <row r="301" spans="1:2" ht="15.75" customHeight="1" x14ac:dyDescent="0.25">
      <c r="A301" s="59">
        <v>201</v>
      </c>
      <c r="B301" s="60" t="s">
        <v>415</v>
      </c>
    </row>
    <row r="302" spans="1:2" ht="15.75" customHeight="1" x14ac:dyDescent="0.25">
      <c r="A302" s="59" t="s">
        <v>416</v>
      </c>
      <c r="B302" s="60" t="s">
        <v>415</v>
      </c>
    </row>
    <row r="303" spans="1:2" ht="15.75" customHeight="1" x14ac:dyDescent="0.25">
      <c r="A303" s="59">
        <v>301</v>
      </c>
      <c r="B303" s="60" t="s">
        <v>415</v>
      </c>
    </row>
    <row r="304" spans="1:2" ht="15.75" customHeight="1" x14ac:dyDescent="0.25">
      <c r="A304" s="59">
        <v>312</v>
      </c>
      <c r="B304" s="60" t="s">
        <v>415</v>
      </c>
    </row>
    <row r="305" spans="1:2" ht="15.75" customHeight="1" x14ac:dyDescent="0.25">
      <c r="A305" s="63">
        <v>348</v>
      </c>
      <c r="B305" s="60" t="s">
        <v>415</v>
      </c>
    </row>
    <row r="306" spans="1:2" ht="15.75" customHeight="1" x14ac:dyDescent="0.25">
      <c r="A306" s="59">
        <v>259</v>
      </c>
      <c r="B306" s="60" t="s">
        <v>415</v>
      </c>
    </row>
    <row r="307" spans="1:2" ht="15.75" customHeight="1" x14ac:dyDescent="0.25">
      <c r="A307" s="59">
        <v>257</v>
      </c>
      <c r="B307" s="60" t="s">
        <v>415</v>
      </c>
    </row>
    <row r="308" spans="1:2" ht="15.75" customHeight="1" x14ac:dyDescent="0.25">
      <c r="A308" s="59">
        <v>242</v>
      </c>
      <c r="B308" s="60" t="s">
        <v>415</v>
      </c>
    </row>
    <row r="309" spans="1:2" ht="15.75" customHeight="1" x14ac:dyDescent="0.25">
      <c r="A309" s="59">
        <v>277</v>
      </c>
      <c r="B309" s="60" t="s">
        <v>415</v>
      </c>
    </row>
    <row r="310" spans="1:2" ht="15.75" customHeight="1" x14ac:dyDescent="0.25">
      <c r="A310" s="59">
        <v>279</v>
      </c>
      <c r="B310" s="60" t="s">
        <v>415</v>
      </c>
    </row>
    <row r="311" spans="1:2" ht="15.75" customHeight="1" x14ac:dyDescent="0.25">
      <c r="A311" s="59" t="s">
        <v>417</v>
      </c>
      <c r="B311" s="60" t="s">
        <v>415</v>
      </c>
    </row>
    <row r="312" spans="1:2" ht="15.75" customHeight="1" x14ac:dyDescent="0.25">
      <c r="A312" s="59" t="s">
        <v>418</v>
      </c>
      <c r="B312" s="60" t="s">
        <v>415</v>
      </c>
    </row>
    <row r="313" spans="1:2" ht="15.75" customHeight="1" x14ac:dyDescent="0.25">
      <c r="A313" s="59">
        <v>59</v>
      </c>
      <c r="B313" s="60" t="s">
        <v>419</v>
      </c>
    </row>
    <row r="314" spans="1:2" ht="15.75" customHeight="1" x14ac:dyDescent="0.25">
      <c r="A314" s="59">
        <v>60</v>
      </c>
      <c r="B314" s="60" t="s">
        <v>419</v>
      </c>
    </row>
    <row r="315" spans="1:2" ht="15.75" customHeight="1" x14ac:dyDescent="0.25">
      <c r="A315" s="59">
        <v>131</v>
      </c>
      <c r="B315" s="60" t="s">
        <v>419</v>
      </c>
    </row>
    <row r="316" spans="1:2" ht="15.75" customHeight="1" x14ac:dyDescent="0.25">
      <c r="A316" s="62">
        <v>132</v>
      </c>
      <c r="B316" s="60" t="s">
        <v>419</v>
      </c>
    </row>
    <row r="317" spans="1:2" ht="15.75" customHeight="1" x14ac:dyDescent="0.25">
      <c r="A317" s="59">
        <v>138</v>
      </c>
      <c r="B317" s="60" t="s">
        <v>419</v>
      </c>
    </row>
    <row r="318" spans="1:2" ht="15.75" customHeight="1" x14ac:dyDescent="0.25">
      <c r="A318" s="59">
        <v>197</v>
      </c>
      <c r="B318" s="60" t="s">
        <v>419</v>
      </c>
    </row>
    <row r="319" spans="1:2" ht="15.75" customHeight="1" x14ac:dyDescent="0.25">
      <c r="A319" s="59">
        <v>232</v>
      </c>
      <c r="B319" s="60" t="s">
        <v>419</v>
      </c>
    </row>
    <row r="320" spans="1:2" ht="15.75" customHeight="1" x14ac:dyDescent="0.25">
      <c r="A320" s="59">
        <v>330</v>
      </c>
      <c r="B320" s="60" t="s">
        <v>419</v>
      </c>
    </row>
    <row r="321" spans="1:2" ht="15.75" customHeight="1" x14ac:dyDescent="0.25">
      <c r="A321" s="62" t="s">
        <v>420</v>
      </c>
      <c r="B321" s="60" t="s">
        <v>419</v>
      </c>
    </row>
    <row r="322" spans="1:2" ht="15.75" customHeight="1" x14ac:dyDescent="0.25">
      <c r="A322" s="59" t="s">
        <v>421</v>
      </c>
      <c r="B322" s="60" t="s">
        <v>419</v>
      </c>
    </row>
    <row r="323" spans="1:2" ht="15.75" customHeight="1" x14ac:dyDescent="0.25">
      <c r="A323" s="59" t="s">
        <v>422</v>
      </c>
      <c r="B323" s="60" t="s">
        <v>419</v>
      </c>
    </row>
    <row r="324" spans="1:2" ht="15.75" customHeight="1" x14ac:dyDescent="0.25">
      <c r="A324" s="59">
        <v>246</v>
      </c>
      <c r="B324" s="60" t="s">
        <v>419</v>
      </c>
    </row>
    <row r="325" spans="1:2" ht="15.75" customHeight="1" x14ac:dyDescent="0.25">
      <c r="A325" s="59" t="s">
        <v>423</v>
      </c>
      <c r="B325" s="60" t="s">
        <v>419</v>
      </c>
    </row>
    <row r="326" spans="1:2" ht="15.75" customHeight="1" x14ac:dyDescent="0.25">
      <c r="A326" s="59" t="s">
        <v>424</v>
      </c>
      <c r="B326" s="60" t="s">
        <v>419</v>
      </c>
    </row>
    <row r="327" spans="1:2" ht="15.75" customHeight="1" x14ac:dyDescent="0.25">
      <c r="A327" s="59">
        <v>57</v>
      </c>
      <c r="B327" s="60" t="s">
        <v>425</v>
      </c>
    </row>
    <row r="328" spans="1:2" ht="15.75" customHeight="1" x14ac:dyDescent="0.25">
      <c r="A328" s="59">
        <v>140</v>
      </c>
      <c r="B328" s="60" t="s">
        <v>425</v>
      </c>
    </row>
    <row r="329" spans="1:2" ht="15.75" customHeight="1" x14ac:dyDescent="0.25">
      <c r="A329" s="59">
        <v>143</v>
      </c>
      <c r="B329" s="60" t="s">
        <v>425</v>
      </c>
    </row>
    <row r="330" spans="1:2" ht="15.75" customHeight="1" x14ac:dyDescent="0.25">
      <c r="A330" s="59">
        <v>144</v>
      </c>
      <c r="B330" s="60" t="s">
        <v>425</v>
      </c>
    </row>
    <row r="331" spans="1:2" ht="15.75" customHeight="1" x14ac:dyDescent="0.25">
      <c r="A331" s="59">
        <v>145</v>
      </c>
      <c r="B331" s="60" t="s">
        <v>425</v>
      </c>
    </row>
    <row r="332" spans="1:2" ht="15.75" customHeight="1" x14ac:dyDescent="0.25">
      <c r="A332" s="59">
        <v>146</v>
      </c>
      <c r="B332" s="60" t="s">
        <v>425</v>
      </c>
    </row>
    <row r="333" spans="1:2" ht="15.75" customHeight="1" x14ac:dyDescent="0.25">
      <c r="A333" s="59">
        <v>147</v>
      </c>
      <c r="B333" s="60" t="s">
        <v>425</v>
      </c>
    </row>
    <row r="334" spans="1:2" ht="15.75" customHeight="1" x14ac:dyDescent="0.25">
      <c r="A334" s="59">
        <v>148</v>
      </c>
      <c r="B334" s="60" t="s">
        <v>425</v>
      </c>
    </row>
    <row r="335" spans="1:2" ht="15.75" customHeight="1" x14ac:dyDescent="0.25">
      <c r="A335" s="59">
        <v>193</v>
      </c>
      <c r="B335" s="60" t="s">
        <v>425</v>
      </c>
    </row>
    <row r="336" spans="1:2" ht="15.75" customHeight="1" x14ac:dyDescent="0.25">
      <c r="A336" s="59">
        <v>203</v>
      </c>
      <c r="B336" s="60" t="s">
        <v>425</v>
      </c>
    </row>
    <row r="337" spans="1:2" ht="15.75" customHeight="1" x14ac:dyDescent="0.25">
      <c r="A337" s="59">
        <v>211</v>
      </c>
      <c r="B337" s="60" t="s">
        <v>425</v>
      </c>
    </row>
    <row r="338" spans="1:2" ht="15.75" customHeight="1" x14ac:dyDescent="0.25">
      <c r="A338" s="61">
        <v>254</v>
      </c>
      <c r="B338" s="60" t="s">
        <v>425</v>
      </c>
    </row>
    <row r="339" spans="1:2" ht="15.75" customHeight="1" x14ac:dyDescent="0.25">
      <c r="A339" s="59">
        <v>302</v>
      </c>
      <c r="B339" s="60" t="s">
        <v>425</v>
      </c>
    </row>
    <row r="340" spans="1:2" ht="15.75" customHeight="1" x14ac:dyDescent="0.25">
      <c r="A340" s="59">
        <v>336</v>
      </c>
      <c r="B340" s="60" t="s">
        <v>425</v>
      </c>
    </row>
    <row r="341" spans="1:2" ht="15.75" customHeight="1" x14ac:dyDescent="0.25">
      <c r="A341" s="59">
        <v>339</v>
      </c>
      <c r="B341" s="60" t="s">
        <v>425</v>
      </c>
    </row>
    <row r="342" spans="1:2" ht="15.75" customHeight="1" x14ac:dyDescent="0.25">
      <c r="A342" s="59">
        <v>359</v>
      </c>
      <c r="B342" s="60" t="s">
        <v>425</v>
      </c>
    </row>
    <row r="343" spans="1:2" ht="15.75" customHeight="1" x14ac:dyDescent="0.25">
      <c r="A343" s="59">
        <v>365</v>
      </c>
      <c r="B343" s="60" t="s">
        <v>425</v>
      </c>
    </row>
    <row r="344" spans="1:2" ht="15.75" customHeight="1" x14ac:dyDescent="0.25">
      <c r="A344" s="59">
        <v>139</v>
      </c>
      <c r="B344" s="60" t="s">
        <v>425</v>
      </c>
    </row>
    <row r="345" spans="1:2" ht="15.75" customHeight="1" x14ac:dyDescent="0.25">
      <c r="A345" s="59">
        <v>340</v>
      </c>
      <c r="B345" s="60" t="s">
        <v>425</v>
      </c>
    </row>
    <row r="346" spans="1:2" ht="15.75" customHeight="1" x14ac:dyDescent="0.25">
      <c r="A346" s="59" t="s">
        <v>426</v>
      </c>
      <c r="B346" s="60" t="s">
        <v>427</v>
      </c>
    </row>
    <row r="347" spans="1:2" ht="15.75" customHeight="1" x14ac:dyDescent="0.25">
      <c r="A347" s="59">
        <v>119</v>
      </c>
      <c r="B347" s="60" t="s">
        <v>427</v>
      </c>
    </row>
    <row r="348" spans="1:2" ht="15.75" customHeight="1" x14ac:dyDescent="0.25">
      <c r="A348" s="59">
        <v>120</v>
      </c>
      <c r="B348" s="60" t="s">
        <v>427</v>
      </c>
    </row>
    <row r="349" spans="1:2" ht="15.75" customHeight="1" x14ac:dyDescent="0.25">
      <c r="A349" s="59">
        <v>158</v>
      </c>
      <c r="B349" s="60" t="s">
        <v>427</v>
      </c>
    </row>
    <row r="350" spans="1:2" ht="15.75" customHeight="1" x14ac:dyDescent="0.25">
      <c r="A350" s="59">
        <v>159</v>
      </c>
      <c r="B350" s="60" t="s">
        <v>427</v>
      </c>
    </row>
    <row r="351" spans="1:2" ht="15.75" customHeight="1" x14ac:dyDescent="0.25">
      <c r="A351" s="61">
        <v>180</v>
      </c>
      <c r="B351" s="60" t="s">
        <v>427</v>
      </c>
    </row>
    <row r="352" spans="1:2" ht="15.75" customHeight="1" x14ac:dyDescent="0.25">
      <c r="A352" s="59">
        <v>181</v>
      </c>
      <c r="B352" s="60" t="s">
        <v>427</v>
      </c>
    </row>
    <row r="353" spans="1:2" ht="15.75" customHeight="1" x14ac:dyDescent="0.25">
      <c r="A353" s="59">
        <v>182</v>
      </c>
      <c r="B353" s="60" t="s">
        <v>427</v>
      </c>
    </row>
    <row r="354" spans="1:2" ht="15.75" customHeight="1" x14ac:dyDescent="0.25">
      <c r="A354" s="61">
        <v>190</v>
      </c>
      <c r="B354" s="60" t="s">
        <v>427</v>
      </c>
    </row>
    <row r="355" spans="1:2" ht="15.75" customHeight="1" x14ac:dyDescent="0.25">
      <c r="A355" s="59">
        <v>218</v>
      </c>
      <c r="B355" s="60" t="s">
        <v>427</v>
      </c>
    </row>
    <row r="356" spans="1:2" ht="15.75" customHeight="1" x14ac:dyDescent="0.25">
      <c r="A356" s="59">
        <v>364</v>
      </c>
      <c r="B356" s="60" t="s">
        <v>427</v>
      </c>
    </row>
    <row r="357" spans="1:2" ht="15.75" customHeight="1" x14ac:dyDescent="0.25">
      <c r="A357" s="65">
        <v>368</v>
      </c>
      <c r="B357" s="60" t="s">
        <v>427</v>
      </c>
    </row>
    <row r="358" spans="1:2" ht="15.75" customHeight="1" x14ac:dyDescent="0.25">
      <c r="A358" s="59" t="s">
        <v>428</v>
      </c>
      <c r="B358" s="60" t="s">
        <v>427</v>
      </c>
    </row>
    <row r="359" spans="1:2" ht="15.75" customHeight="1" x14ac:dyDescent="0.25">
      <c r="A359" s="59" t="s">
        <v>429</v>
      </c>
      <c r="B359" s="60" t="s">
        <v>427</v>
      </c>
    </row>
    <row r="360" spans="1:2" ht="15.75" customHeight="1" x14ac:dyDescent="0.25">
      <c r="A360" s="59" t="s">
        <v>430</v>
      </c>
      <c r="B360" s="60" t="s">
        <v>427</v>
      </c>
    </row>
    <row r="361" spans="1:2" ht="15.75" customHeight="1" x14ac:dyDescent="0.25">
      <c r="A361" s="59" t="s">
        <v>431</v>
      </c>
      <c r="B361" s="60" t="s">
        <v>427</v>
      </c>
    </row>
    <row r="362" spans="1:2" ht="15.75" customHeight="1" x14ac:dyDescent="0.25">
      <c r="A362" s="59">
        <v>270</v>
      </c>
      <c r="B362" s="60" t="s">
        <v>427</v>
      </c>
    </row>
    <row r="363" spans="1:2" ht="15.75" customHeight="1" x14ac:dyDescent="0.25">
      <c r="A363" s="65">
        <v>355</v>
      </c>
      <c r="B363" s="60" t="s">
        <v>427</v>
      </c>
    </row>
    <row r="364" spans="1:2" ht="15.75" customHeight="1" x14ac:dyDescent="0.25">
      <c r="A364" s="59">
        <v>25</v>
      </c>
      <c r="B364" s="60" t="s">
        <v>432</v>
      </c>
    </row>
    <row r="365" spans="1:2" ht="15.75" customHeight="1" x14ac:dyDescent="0.25">
      <c r="A365" s="59">
        <v>26</v>
      </c>
      <c r="B365" s="60" t="s">
        <v>432</v>
      </c>
    </row>
    <row r="366" spans="1:2" ht="15.75" customHeight="1" x14ac:dyDescent="0.25">
      <c r="A366" s="59">
        <v>32</v>
      </c>
      <c r="B366" s="60" t="s">
        <v>432</v>
      </c>
    </row>
    <row r="367" spans="1:2" ht="15.75" customHeight="1" x14ac:dyDescent="0.25">
      <c r="A367" s="59">
        <v>33</v>
      </c>
      <c r="B367" s="60" t="s">
        <v>432</v>
      </c>
    </row>
    <row r="368" spans="1:2" ht="15.75" customHeight="1" x14ac:dyDescent="0.25">
      <c r="A368" s="59">
        <v>34</v>
      </c>
      <c r="B368" s="60" t="s">
        <v>432</v>
      </c>
    </row>
    <row r="369" spans="1:2" ht="15.75" customHeight="1" x14ac:dyDescent="0.25">
      <c r="A369" s="59">
        <v>78</v>
      </c>
      <c r="B369" s="60" t="s">
        <v>432</v>
      </c>
    </row>
    <row r="370" spans="1:2" ht="15.75" customHeight="1" x14ac:dyDescent="0.25">
      <c r="A370" s="59" t="s">
        <v>433</v>
      </c>
      <c r="B370" s="60" t="s">
        <v>432</v>
      </c>
    </row>
    <row r="371" spans="1:2" ht="15.75" customHeight="1" x14ac:dyDescent="0.25">
      <c r="A371" s="59" t="s">
        <v>434</v>
      </c>
      <c r="B371" s="60" t="s">
        <v>432</v>
      </c>
    </row>
    <row r="372" spans="1:2" ht="15.75" customHeight="1" x14ac:dyDescent="0.25">
      <c r="A372" s="59" t="s">
        <v>435</v>
      </c>
      <c r="B372" s="60" t="s">
        <v>432</v>
      </c>
    </row>
    <row r="373" spans="1:2" ht="15.75" customHeight="1" x14ac:dyDescent="0.25">
      <c r="A373" s="61">
        <v>343</v>
      </c>
      <c r="B373" s="60" t="s">
        <v>432</v>
      </c>
    </row>
    <row r="374" spans="1:2" ht="15.75" customHeight="1" x14ac:dyDescent="0.25">
      <c r="A374" s="59">
        <v>21</v>
      </c>
      <c r="B374" s="60" t="s">
        <v>436</v>
      </c>
    </row>
    <row r="375" spans="1:2" ht="15.75" customHeight="1" x14ac:dyDescent="0.25">
      <c r="A375" s="59">
        <v>272</v>
      </c>
      <c r="B375" s="60" t="s">
        <v>436</v>
      </c>
    </row>
    <row r="376" spans="1:2" ht="15.75" customHeight="1" x14ac:dyDescent="0.25">
      <c r="A376" s="59">
        <v>274</v>
      </c>
      <c r="B376" s="60" t="s">
        <v>436</v>
      </c>
    </row>
    <row r="377" spans="1:2" ht="15.75" customHeight="1" x14ac:dyDescent="0.25">
      <c r="A377" s="59">
        <v>303</v>
      </c>
      <c r="B377" s="60" t="s">
        <v>436</v>
      </c>
    </row>
    <row r="378" spans="1:2" ht="15.75" customHeight="1" x14ac:dyDescent="0.25">
      <c r="A378" s="63">
        <v>351</v>
      </c>
      <c r="B378" s="60" t="s">
        <v>436</v>
      </c>
    </row>
    <row r="379" spans="1:2" ht="15.75" customHeight="1" x14ac:dyDescent="0.25">
      <c r="A379" s="59">
        <v>251</v>
      </c>
      <c r="B379" s="60" t="s">
        <v>436</v>
      </c>
    </row>
    <row r="380" spans="1:2" ht="15.75" customHeight="1" x14ac:dyDescent="0.25">
      <c r="A380" s="66">
        <v>289</v>
      </c>
      <c r="B380" s="60" t="s">
        <v>436</v>
      </c>
    </row>
    <row r="381" spans="1:2" ht="15.75" customHeight="1" x14ac:dyDescent="0.25">
      <c r="A381" s="66">
        <v>290</v>
      </c>
      <c r="B381" s="60" t="s">
        <v>436</v>
      </c>
    </row>
    <row r="382" spans="1:2" ht="15.75" customHeight="1" x14ac:dyDescent="0.25">
      <c r="A382" s="66">
        <v>314</v>
      </c>
      <c r="B382" s="60" t="s">
        <v>436</v>
      </c>
    </row>
    <row r="383" spans="1:2" ht="15.75" customHeight="1" x14ac:dyDescent="0.25">
      <c r="A383" s="67">
        <v>353</v>
      </c>
      <c r="B383" s="60" t="s">
        <v>436</v>
      </c>
    </row>
    <row r="384" spans="1:2" ht="15.75" customHeight="1" x14ac:dyDescent="0.25">
      <c r="A384" s="66" t="s">
        <v>437</v>
      </c>
      <c r="B384" s="60" t="s">
        <v>436</v>
      </c>
    </row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00"/>
  <sheetViews>
    <sheetView workbookViewId="0"/>
  </sheetViews>
  <sheetFormatPr baseColWidth="10" defaultColWidth="14.42578125" defaultRowHeight="15" customHeight="1" x14ac:dyDescent="0.25"/>
  <cols>
    <col min="1" max="1" width="11.42578125" customWidth="1"/>
    <col min="2" max="2" width="36" customWidth="1"/>
    <col min="3" max="3" width="34.42578125" customWidth="1"/>
    <col min="4" max="26" width="11.42578125" customWidth="1"/>
  </cols>
  <sheetData>
    <row r="1" spans="1:3" x14ac:dyDescent="0.25">
      <c r="A1" s="68" t="s">
        <v>438</v>
      </c>
      <c r="B1" s="68" t="s">
        <v>439</v>
      </c>
      <c r="C1" s="69" t="s">
        <v>440</v>
      </c>
    </row>
    <row r="2" spans="1:3" x14ac:dyDescent="0.25">
      <c r="A2" s="70">
        <v>91476117</v>
      </c>
      <c r="B2" s="71" t="s">
        <v>358</v>
      </c>
      <c r="C2" s="72" t="s">
        <v>441</v>
      </c>
    </row>
    <row r="3" spans="1:3" x14ac:dyDescent="0.25">
      <c r="A3" s="71">
        <v>78749948</v>
      </c>
      <c r="B3" s="71" t="s">
        <v>359</v>
      </c>
      <c r="C3" s="72" t="s">
        <v>442</v>
      </c>
    </row>
    <row r="4" spans="1:3" x14ac:dyDescent="0.25">
      <c r="A4" s="54">
        <v>63561583</v>
      </c>
      <c r="B4" s="54" t="s">
        <v>363</v>
      </c>
      <c r="C4" s="72" t="s">
        <v>441</v>
      </c>
    </row>
    <row r="5" spans="1:3" x14ac:dyDescent="0.25">
      <c r="A5" s="54">
        <v>79524026</v>
      </c>
      <c r="B5" s="54" t="s">
        <v>366</v>
      </c>
      <c r="C5" s="72" t="s">
        <v>441</v>
      </c>
    </row>
    <row r="6" spans="1:3" x14ac:dyDescent="0.25">
      <c r="A6" s="71">
        <v>1075236275</v>
      </c>
      <c r="B6" s="71" t="s">
        <v>368</v>
      </c>
      <c r="C6" s="72" t="s">
        <v>442</v>
      </c>
    </row>
    <row r="7" spans="1:3" x14ac:dyDescent="0.25">
      <c r="A7" s="54">
        <v>10773816</v>
      </c>
      <c r="B7" s="54" t="s">
        <v>370</v>
      </c>
      <c r="C7" s="71" t="s">
        <v>443</v>
      </c>
    </row>
    <row r="8" spans="1:3" x14ac:dyDescent="0.25">
      <c r="A8" s="71">
        <v>1069713448</v>
      </c>
      <c r="B8" s="71" t="s">
        <v>374</v>
      </c>
      <c r="C8" s="71" t="s">
        <v>443</v>
      </c>
    </row>
    <row r="9" spans="1:3" x14ac:dyDescent="0.25">
      <c r="A9" s="71">
        <v>93414479</v>
      </c>
      <c r="B9" s="71" t="s">
        <v>379</v>
      </c>
      <c r="C9" s="71" t="s">
        <v>443</v>
      </c>
    </row>
    <row r="10" spans="1:3" x14ac:dyDescent="0.25">
      <c r="A10" s="71">
        <v>7698504</v>
      </c>
      <c r="B10" s="71" t="s">
        <v>383</v>
      </c>
      <c r="C10" s="71" t="s">
        <v>443</v>
      </c>
    </row>
    <row r="11" spans="1:3" x14ac:dyDescent="0.25">
      <c r="A11" s="71">
        <v>96354333</v>
      </c>
      <c r="B11" s="71" t="s">
        <v>387</v>
      </c>
      <c r="C11" s="72" t="s">
        <v>441</v>
      </c>
    </row>
    <row r="12" spans="1:3" x14ac:dyDescent="0.25">
      <c r="A12" s="71">
        <v>73575049</v>
      </c>
      <c r="B12" s="71" t="s">
        <v>393</v>
      </c>
      <c r="C12" s="72" t="s">
        <v>442</v>
      </c>
    </row>
    <row r="13" spans="1:3" x14ac:dyDescent="0.25">
      <c r="A13" s="72">
        <v>91524294</v>
      </c>
      <c r="B13" s="71" t="s">
        <v>396</v>
      </c>
      <c r="C13" s="72" t="s">
        <v>441</v>
      </c>
    </row>
    <row r="14" spans="1:3" x14ac:dyDescent="0.25">
      <c r="A14" s="71">
        <v>52529805</v>
      </c>
      <c r="B14" s="71" t="s">
        <v>399</v>
      </c>
      <c r="C14" s="71" t="s">
        <v>443</v>
      </c>
    </row>
    <row r="15" spans="1:3" x14ac:dyDescent="0.25">
      <c r="A15" s="71">
        <v>71367699</v>
      </c>
      <c r="B15" s="71" t="s">
        <v>402</v>
      </c>
      <c r="C15" s="71" t="s">
        <v>443</v>
      </c>
    </row>
    <row r="16" spans="1:3" x14ac:dyDescent="0.25">
      <c r="A16" s="71">
        <v>1075238721</v>
      </c>
      <c r="B16" s="71" t="s">
        <v>406</v>
      </c>
      <c r="C16" s="72" t="s">
        <v>441</v>
      </c>
    </row>
    <row r="17" spans="1:3" x14ac:dyDescent="0.25">
      <c r="A17" s="71">
        <v>1067851725</v>
      </c>
      <c r="B17" s="71" t="s">
        <v>408</v>
      </c>
      <c r="C17" s="73" t="s">
        <v>442</v>
      </c>
    </row>
    <row r="18" spans="1:3" x14ac:dyDescent="0.25">
      <c r="A18" s="71">
        <v>79955900</v>
      </c>
      <c r="B18" s="71" t="s">
        <v>444</v>
      </c>
      <c r="C18" s="71" t="s">
        <v>443</v>
      </c>
    </row>
    <row r="19" spans="1:3" x14ac:dyDescent="0.25">
      <c r="A19" s="71">
        <v>1098619169</v>
      </c>
      <c r="B19" s="71" t="s">
        <v>412</v>
      </c>
      <c r="C19" s="72" t="s">
        <v>441</v>
      </c>
    </row>
    <row r="20" spans="1:3" x14ac:dyDescent="0.25">
      <c r="A20" s="71">
        <v>1098622893</v>
      </c>
      <c r="B20" s="71" t="s">
        <v>415</v>
      </c>
      <c r="C20" s="71" t="s">
        <v>443</v>
      </c>
    </row>
    <row r="21" spans="1:3" ht="15.75" customHeight="1" x14ac:dyDescent="0.25">
      <c r="A21" s="74">
        <v>52453681</v>
      </c>
      <c r="B21" s="74" t="s">
        <v>419</v>
      </c>
      <c r="C21" s="74" t="s">
        <v>441</v>
      </c>
    </row>
    <row r="22" spans="1:3" ht="15.75" customHeight="1" x14ac:dyDescent="0.25">
      <c r="A22" s="71">
        <v>53068345</v>
      </c>
      <c r="B22" s="71" t="s">
        <v>425</v>
      </c>
      <c r="C22" s="72" t="s">
        <v>442</v>
      </c>
    </row>
    <row r="23" spans="1:3" ht="15.75" customHeight="1" x14ac:dyDescent="0.25">
      <c r="A23" s="71">
        <v>66968760</v>
      </c>
      <c r="B23" s="71" t="s">
        <v>427</v>
      </c>
      <c r="C23" s="72" t="s">
        <v>442</v>
      </c>
    </row>
    <row r="24" spans="1:3" ht="15.75" customHeight="1" x14ac:dyDescent="0.25">
      <c r="A24" s="71">
        <v>76319826</v>
      </c>
      <c r="B24" s="71" t="s">
        <v>432</v>
      </c>
      <c r="C24" s="72" t="s">
        <v>442</v>
      </c>
    </row>
    <row r="25" spans="1:3" ht="15.75" customHeight="1" x14ac:dyDescent="0.25">
      <c r="A25" s="54">
        <v>22657544</v>
      </c>
      <c r="B25" s="54" t="s">
        <v>436</v>
      </c>
      <c r="C25" s="72" t="s">
        <v>442</v>
      </c>
    </row>
    <row r="26" spans="1:3" ht="15.75" customHeight="1" x14ac:dyDescent="0.25"/>
    <row r="27" spans="1:3" ht="15.75" customHeight="1" x14ac:dyDescent="0.25"/>
    <row r="28" spans="1:3" ht="15.75" customHeight="1" x14ac:dyDescent="0.25"/>
    <row r="29" spans="1:3" ht="15.75" customHeight="1" x14ac:dyDescent="0.25"/>
    <row r="30" spans="1:3" ht="15.75" customHeight="1" x14ac:dyDescent="0.25"/>
    <row r="31" spans="1:3" ht="15.75" customHeight="1" x14ac:dyDescent="0.25"/>
    <row r="32" spans="1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000"/>
  <sheetViews>
    <sheetView workbookViewId="0"/>
  </sheetViews>
  <sheetFormatPr baseColWidth="10" defaultColWidth="14.42578125" defaultRowHeight="15" customHeight="1" x14ac:dyDescent="0.25"/>
  <cols>
    <col min="1" max="1" width="4.42578125" customWidth="1"/>
    <col min="2" max="2" width="24.85546875" customWidth="1"/>
    <col min="3" max="13" width="11.42578125" customWidth="1"/>
    <col min="14" max="14" width="17.28515625" customWidth="1"/>
    <col min="15" max="26" width="11.42578125" customWidth="1"/>
  </cols>
  <sheetData>
    <row r="1" spans="1:15" ht="76.5" x14ac:dyDescent="0.25">
      <c r="A1" s="75" t="s">
        <v>308</v>
      </c>
      <c r="B1" s="76" t="s">
        <v>356</v>
      </c>
      <c r="C1" s="77" t="s">
        <v>445</v>
      </c>
      <c r="D1" s="78" t="s">
        <v>446</v>
      </c>
      <c r="E1" s="78" t="s">
        <v>447</v>
      </c>
      <c r="F1" s="79" t="s">
        <v>448</v>
      </c>
      <c r="G1" s="79" t="s">
        <v>449</v>
      </c>
      <c r="H1" s="78" t="s">
        <v>450</v>
      </c>
      <c r="I1" s="80" t="s">
        <v>451</v>
      </c>
      <c r="J1" s="80" t="s">
        <v>452</v>
      </c>
      <c r="K1" s="78" t="s">
        <v>453</v>
      </c>
      <c r="L1" s="78" t="s">
        <v>454</v>
      </c>
      <c r="M1" s="78" t="s">
        <v>455</v>
      </c>
      <c r="N1" s="81"/>
      <c r="O1" s="82" t="s">
        <v>456</v>
      </c>
    </row>
    <row r="2" spans="1:15" hidden="1" x14ac:dyDescent="0.25">
      <c r="A2" s="83">
        <v>61</v>
      </c>
      <c r="B2" s="83" t="s">
        <v>358</v>
      </c>
      <c r="C2" s="60" t="s">
        <v>82</v>
      </c>
      <c r="D2" s="60">
        <v>73</v>
      </c>
      <c r="E2" s="60">
        <v>44</v>
      </c>
      <c r="F2" s="60">
        <v>0</v>
      </c>
      <c r="G2" s="60">
        <v>0</v>
      </c>
      <c r="H2" s="60">
        <v>0</v>
      </c>
      <c r="I2" s="60">
        <v>117</v>
      </c>
      <c r="J2" s="60">
        <v>183</v>
      </c>
      <c r="K2" s="60">
        <v>1</v>
      </c>
      <c r="L2" s="60" t="s">
        <v>18</v>
      </c>
      <c r="M2" s="60" t="s">
        <v>18</v>
      </c>
      <c r="N2" s="83" t="str">
        <f>VLOOKUP(B2,Hoja1!$B$1:$C$25,2,0)</f>
        <v>EDGAR JAVIER CASTAÑEDA GIL</v>
      </c>
      <c r="O2" s="1" t="e">
        <f t="shared" ref="O2:O256" si="0">VLOOKUP(A2,#REF!,22,0)</f>
        <v>#REF!</v>
      </c>
    </row>
    <row r="3" spans="1:15" hidden="1" x14ac:dyDescent="0.25">
      <c r="A3" s="83">
        <v>62</v>
      </c>
      <c r="B3" s="83" t="s">
        <v>358</v>
      </c>
      <c r="C3" s="60" t="s">
        <v>82</v>
      </c>
      <c r="D3" s="60">
        <v>245</v>
      </c>
      <c r="E3" s="60">
        <v>128</v>
      </c>
      <c r="F3" s="60">
        <v>0</v>
      </c>
      <c r="G3" s="60">
        <v>0</v>
      </c>
      <c r="H3" s="60">
        <v>0</v>
      </c>
      <c r="I3" s="60">
        <v>373</v>
      </c>
      <c r="J3" s="60">
        <v>0</v>
      </c>
      <c r="K3" s="60">
        <v>2</v>
      </c>
      <c r="L3" s="60">
        <f t="shared" ref="L3:L5" si="1">I3-J3</f>
        <v>373</v>
      </c>
      <c r="M3" s="84">
        <v>45000</v>
      </c>
      <c r="N3" s="83" t="str">
        <f>VLOOKUP(B3,Hoja1!$B$1:$C$25,2,0)</f>
        <v>EDGAR JAVIER CASTAÑEDA GIL</v>
      </c>
      <c r="O3" s="1" t="e">
        <f t="shared" si="0"/>
        <v>#REF!</v>
      </c>
    </row>
    <row r="4" spans="1:15" hidden="1" x14ac:dyDescent="0.25">
      <c r="A4" s="83">
        <v>83</v>
      </c>
      <c r="B4" s="83" t="s">
        <v>358</v>
      </c>
      <c r="C4" s="60" t="s">
        <v>82</v>
      </c>
      <c r="D4" s="60">
        <v>223</v>
      </c>
      <c r="E4" s="60">
        <v>50</v>
      </c>
      <c r="F4" s="60">
        <v>68</v>
      </c>
      <c r="G4" s="60">
        <v>0</v>
      </c>
      <c r="H4" s="60">
        <v>30</v>
      </c>
      <c r="I4" s="60">
        <v>371</v>
      </c>
      <c r="J4" s="60">
        <v>0</v>
      </c>
      <c r="K4" s="60">
        <v>2</v>
      </c>
      <c r="L4" s="60">
        <f t="shared" si="1"/>
        <v>371</v>
      </c>
      <c r="M4" s="84">
        <v>45000</v>
      </c>
      <c r="N4" s="83" t="str">
        <f>VLOOKUP(B4,Hoja1!$B$1:$C$25,2,0)</f>
        <v>EDGAR JAVIER CASTAÑEDA GIL</v>
      </c>
      <c r="O4" s="1" t="e">
        <f t="shared" si="0"/>
        <v>#REF!</v>
      </c>
    </row>
    <row r="5" spans="1:15" hidden="1" x14ac:dyDescent="0.25">
      <c r="A5" s="83">
        <v>85</v>
      </c>
      <c r="B5" s="83" t="s">
        <v>358</v>
      </c>
      <c r="C5" s="60" t="s">
        <v>82</v>
      </c>
      <c r="D5" s="60">
        <v>247</v>
      </c>
      <c r="E5" s="60">
        <v>35</v>
      </c>
      <c r="F5" s="60">
        <v>85</v>
      </c>
      <c r="G5" s="60">
        <v>769</v>
      </c>
      <c r="H5" s="60">
        <v>150</v>
      </c>
      <c r="I5" s="60">
        <v>1286</v>
      </c>
      <c r="J5" s="60">
        <v>917</v>
      </c>
      <c r="K5" s="60">
        <v>1</v>
      </c>
      <c r="L5" s="60">
        <f t="shared" si="1"/>
        <v>369</v>
      </c>
      <c r="M5" s="84">
        <v>45016</v>
      </c>
      <c r="N5" s="83" t="str">
        <f>VLOOKUP(B5,Hoja1!$B$1:$C$25,2,0)</f>
        <v>EDGAR JAVIER CASTAÑEDA GIL</v>
      </c>
      <c r="O5" s="1" t="e">
        <f t="shared" si="0"/>
        <v>#REF!</v>
      </c>
    </row>
    <row r="6" spans="1:15" hidden="1" x14ac:dyDescent="0.25">
      <c r="A6" s="83">
        <v>86</v>
      </c>
      <c r="B6" s="83" t="s">
        <v>358</v>
      </c>
      <c r="C6" s="60" t="s">
        <v>82</v>
      </c>
      <c r="D6" s="60">
        <v>18</v>
      </c>
      <c r="E6" s="60">
        <v>6</v>
      </c>
      <c r="F6" s="60">
        <v>190</v>
      </c>
      <c r="G6" s="60">
        <v>0</v>
      </c>
      <c r="H6" s="60">
        <v>0</v>
      </c>
      <c r="I6" s="60">
        <v>214</v>
      </c>
      <c r="J6" s="60">
        <v>0</v>
      </c>
      <c r="K6" s="60">
        <v>1</v>
      </c>
      <c r="L6" s="60">
        <v>1</v>
      </c>
      <c r="M6" s="60"/>
      <c r="N6" s="83" t="str">
        <f>VLOOKUP(B6,Hoja1!$B$1:$C$25,2,0)</f>
        <v>EDGAR JAVIER CASTAÑEDA GIL</v>
      </c>
      <c r="O6" s="1" t="e">
        <f t="shared" si="0"/>
        <v>#REF!</v>
      </c>
    </row>
    <row r="7" spans="1:15" hidden="1" x14ac:dyDescent="0.25">
      <c r="A7" s="83">
        <v>153</v>
      </c>
      <c r="B7" s="83" t="s">
        <v>358</v>
      </c>
      <c r="C7" s="60" t="s">
        <v>82</v>
      </c>
      <c r="D7" s="60">
        <v>376</v>
      </c>
      <c r="E7" s="60">
        <v>149</v>
      </c>
      <c r="F7" s="60">
        <v>520</v>
      </c>
      <c r="G7" s="60">
        <v>750</v>
      </c>
      <c r="H7" s="60">
        <v>282</v>
      </c>
      <c r="I7" s="60">
        <v>2077</v>
      </c>
      <c r="J7" s="60">
        <v>0</v>
      </c>
      <c r="K7" s="60">
        <v>3</v>
      </c>
      <c r="L7" s="60">
        <f t="shared" ref="L7:L14" si="2">I7-J7</f>
        <v>2077</v>
      </c>
      <c r="M7" s="84">
        <v>45046</v>
      </c>
      <c r="N7" s="83" t="str">
        <f>VLOOKUP(B7,Hoja1!$B$1:$C$25,2,0)</f>
        <v>EDGAR JAVIER CASTAÑEDA GIL</v>
      </c>
      <c r="O7" s="1" t="e">
        <f t="shared" si="0"/>
        <v>#REF!</v>
      </c>
    </row>
    <row r="8" spans="1:15" hidden="1" x14ac:dyDescent="0.25">
      <c r="A8" s="83">
        <v>154</v>
      </c>
      <c r="B8" s="83" t="s">
        <v>358</v>
      </c>
      <c r="C8" s="60" t="s">
        <v>82</v>
      </c>
      <c r="D8" s="60">
        <v>106</v>
      </c>
      <c r="E8" s="60">
        <v>33</v>
      </c>
      <c r="F8" s="60">
        <v>139</v>
      </c>
      <c r="G8" s="60">
        <v>0</v>
      </c>
      <c r="H8" s="60">
        <v>45</v>
      </c>
      <c r="I8" s="60">
        <v>323</v>
      </c>
      <c r="J8" s="60">
        <v>0</v>
      </c>
      <c r="K8" s="60">
        <v>1</v>
      </c>
      <c r="L8" s="60">
        <f t="shared" si="2"/>
        <v>323</v>
      </c>
      <c r="M8" s="84">
        <v>45016</v>
      </c>
      <c r="N8" s="83" t="str">
        <f>VLOOKUP(B8,Hoja1!$B$1:$C$25,2,0)</f>
        <v>EDGAR JAVIER CASTAÑEDA GIL</v>
      </c>
      <c r="O8" s="1" t="e">
        <f t="shared" si="0"/>
        <v>#REF!</v>
      </c>
    </row>
    <row r="9" spans="1:15" hidden="1" x14ac:dyDescent="0.25">
      <c r="A9" s="83">
        <v>155</v>
      </c>
      <c r="B9" s="83" t="s">
        <v>358</v>
      </c>
      <c r="C9" s="60" t="s">
        <v>45</v>
      </c>
      <c r="D9" s="60">
        <v>31</v>
      </c>
      <c r="E9" s="60">
        <v>0</v>
      </c>
      <c r="F9" s="60">
        <v>27</v>
      </c>
      <c r="G9" s="60">
        <v>32</v>
      </c>
      <c r="H9" s="60">
        <v>0</v>
      </c>
      <c r="I9" s="60">
        <v>90</v>
      </c>
      <c r="J9" s="60">
        <v>0</v>
      </c>
      <c r="K9" s="60">
        <v>0</v>
      </c>
      <c r="L9" s="60">
        <f t="shared" si="2"/>
        <v>90</v>
      </c>
      <c r="M9" s="84">
        <v>44985</v>
      </c>
      <c r="N9" s="83" t="str">
        <f>VLOOKUP(B9,Hoja1!$B$1:$C$25,2,0)</f>
        <v>EDGAR JAVIER CASTAÑEDA GIL</v>
      </c>
      <c r="O9" s="1" t="e">
        <f t="shared" si="0"/>
        <v>#REF!</v>
      </c>
    </row>
    <row r="10" spans="1:15" hidden="1" x14ac:dyDescent="0.25">
      <c r="A10" s="83">
        <v>156</v>
      </c>
      <c r="B10" s="83" t="s">
        <v>358</v>
      </c>
      <c r="C10" s="60" t="s">
        <v>82</v>
      </c>
      <c r="D10" s="60">
        <v>166</v>
      </c>
      <c r="E10" s="60">
        <v>59</v>
      </c>
      <c r="F10" s="60">
        <v>295</v>
      </c>
      <c r="G10" s="60">
        <v>450</v>
      </c>
      <c r="H10" s="60">
        <v>150</v>
      </c>
      <c r="I10" s="60">
        <v>1120</v>
      </c>
      <c r="J10" s="60">
        <v>0</v>
      </c>
      <c r="K10" s="60">
        <v>1</v>
      </c>
      <c r="L10" s="60">
        <f t="shared" si="2"/>
        <v>1120</v>
      </c>
      <c r="M10" s="84">
        <v>45046</v>
      </c>
      <c r="N10" s="83" t="str">
        <f>VLOOKUP(B10,Hoja1!$B$1:$C$25,2,0)</f>
        <v>EDGAR JAVIER CASTAÑEDA GIL</v>
      </c>
      <c r="O10" s="1" t="e">
        <f t="shared" si="0"/>
        <v>#REF!</v>
      </c>
    </row>
    <row r="11" spans="1:15" hidden="1" x14ac:dyDescent="0.25">
      <c r="A11" s="83">
        <v>157</v>
      </c>
      <c r="B11" s="83" t="s">
        <v>358</v>
      </c>
      <c r="C11" s="60" t="s">
        <v>82</v>
      </c>
      <c r="D11" s="60">
        <v>76</v>
      </c>
      <c r="E11" s="60">
        <v>38</v>
      </c>
      <c r="F11" s="60">
        <v>130</v>
      </c>
      <c r="G11" s="60">
        <v>110</v>
      </c>
      <c r="H11" s="60">
        <v>50</v>
      </c>
      <c r="I11" s="60">
        <v>404</v>
      </c>
      <c r="J11" s="60">
        <v>44</v>
      </c>
      <c r="K11" s="60">
        <v>1</v>
      </c>
      <c r="L11" s="60">
        <f t="shared" si="2"/>
        <v>360</v>
      </c>
      <c r="M11" s="84">
        <v>45016</v>
      </c>
      <c r="N11" s="83" t="str">
        <f>VLOOKUP(B11,Hoja1!$B$1:$C$25,2,0)</f>
        <v>EDGAR JAVIER CASTAÑEDA GIL</v>
      </c>
      <c r="O11" s="1" t="e">
        <f t="shared" si="0"/>
        <v>#REF!</v>
      </c>
    </row>
    <row r="12" spans="1:15" hidden="1" x14ac:dyDescent="0.25">
      <c r="A12" s="83">
        <v>266</v>
      </c>
      <c r="B12" s="83" t="s">
        <v>358</v>
      </c>
      <c r="C12" s="60" t="s">
        <v>82</v>
      </c>
      <c r="D12" s="60">
        <v>48</v>
      </c>
      <c r="E12" s="60">
        <v>18</v>
      </c>
      <c r="F12" s="60">
        <v>45</v>
      </c>
      <c r="G12" s="60">
        <v>416</v>
      </c>
      <c r="H12" s="60">
        <v>0</v>
      </c>
      <c r="I12" s="60">
        <v>527</v>
      </c>
      <c r="J12" s="60">
        <v>302</v>
      </c>
      <c r="K12" s="60">
        <v>1</v>
      </c>
      <c r="L12" s="60">
        <f t="shared" si="2"/>
        <v>225</v>
      </c>
      <c r="M12" s="84">
        <v>45016</v>
      </c>
      <c r="N12" s="83" t="str">
        <f>VLOOKUP(B12,Hoja1!$B$1:$C$25,2,0)</f>
        <v>EDGAR JAVIER CASTAÑEDA GIL</v>
      </c>
      <c r="O12" s="1" t="e">
        <f t="shared" si="0"/>
        <v>#REF!</v>
      </c>
    </row>
    <row r="13" spans="1:15" hidden="1" x14ac:dyDescent="0.25">
      <c r="A13" s="83">
        <v>269</v>
      </c>
      <c r="B13" s="83" t="s">
        <v>358</v>
      </c>
      <c r="C13" s="60" t="s">
        <v>82</v>
      </c>
      <c r="D13" s="60">
        <v>0</v>
      </c>
      <c r="E13" s="60">
        <v>187</v>
      </c>
      <c r="F13" s="60">
        <v>0</v>
      </c>
      <c r="G13" s="60">
        <v>45</v>
      </c>
      <c r="H13" s="60">
        <v>0</v>
      </c>
      <c r="I13" s="60">
        <v>232</v>
      </c>
      <c r="J13" s="60">
        <v>0</v>
      </c>
      <c r="K13" s="60">
        <v>0</v>
      </c>
      <c r="L13" s="60">
        <f t="shared" si="2"/>
        <v>232</v>
      </c>
      <c r="M13" s="84">
        <v>45046</v>
      </c>
      <c r="N13" s="83" t="str">
        <f>VLOOKUP(B13,Hoja1!$B$1:$C$25,2,0)</f>
        <v>EDGAR JAVIER CASTAÑEDA GIL</v>
      </c>
      <c r="O13" s="1" t="e">
        <f t="shared" si="0"/>
        <v>#REF!</v>
      </c>
    </row>
    <row r="14" spans="1:15" hidden="1" x14ac:dyDescent="0.25">
      <c r="A14" s="83" t="s">
        <v>357</v>
      </c>
      <c r="B14" s="83" t="s">
        <v>358</v>
      </c>
      <c r="C14" s="60" t="s">
        <v>82</v>
      </c>
      <c r="D14" s="60">
        <v>459</v>
      </c>
      <c r="E14" s="60">
        <v>380</v>
      </c>
      <c r="F14" s="60">
        <v>133</v>
      </c>
      <c r="G14" s="60">
        <v>636</v>
      </c>
      <c r="H14" s="60">
        <v>201</v>
      </c>
      <c r="I14" s="60">
        <v>1809</v>
      </c>
      <c r="J14" s="60">
        <v>0</v>
      </c>
      <c r="K14" s="60">
        <v>5</v>
      </c>
      <c r="L14" s="60">
        <f t="shared" si="2"/>
        <v>1809</v>
      </c>
      <c r="M14" s="84">
        <v>45000</v>
      </c>
      <c r="N14" s="83" t="str">
        <f>VLOOKUP(B14,Hoja1!$B$1:$C$25,2,0)</f>
        <v>EDGAR JAVIER CASTAÑEDA GIL</v>
      </c>
      <c r="O14" s="1" t="e">
        <f t="shared" si="0"/>
        <v>#REF!</v>
      </c>
    </row>
    <row r="15" spans="1:15" hidden="1" x14ac:dyDescent="0.25">
      <c r="A15" s="83">
        <v>323</v>
      </c>
      <c r="B15" s="83" t="s">
        <v>358</v>
      </c>
      <c r="C15" s="60"/>
      <c r="D15" s="60"/>
      <c r="E15" s="60"/>
      <c r="F15" s="60"/>
      <c r="G15" s="60"/>
      <c r="H15" s="60"/>
      <c r="I15" s="60"/>
      <c r="J15" s="60">
        <v>0</v>
      </c>
      <c r="K15" s="60"/>
      <c r="L15" s="60"/>
      <c r="M15" s="60"/>
      <c r="N15" s="83" t="str">
        <f>VLOOKUP(B15,Hoja1!$B$1:$C$25,2,0)</f>
        <v>EDGAR JAVIER CASTAÑEDA GIL</v>
      </c>
      <c r="O15" s="1" t="e">
        <f t="shared" si="0"/>
        <v>#REF!</v>
      </c>
    </row>
    <row r="16" spans="1:15" hidden="1" x14ac:dyDescent="0.25">
      <c r="A16" s="83">
        <v>324</v>
      </c>
      <c r="B16" s="83" t="s">
        <v>358</v>
      </c>
      <c r="C16" s="60"/>
      <c r="D16" s="60"/>
      <c r="E16" s="60"/>
      <c r="F16" s="60"/>
      <c r="G16" s="60"/>
      <c r="H16" s="60"/>
      <c r="I16" s="60"/>
      <c r="J16" s="60">
        <v>0</v>
      </c>
      <c r="K16" s="60"/>
      <c r="L16" s="60"/>
      <c r="M16" s="60"/>
      <c r="N16" s="83" t="str">
        <f>VLOOKUP(B16,Hoja1!$B$1:$C$25,2,0)</f>
        <v>EDGAR JAVIER CASTAÑEDA GIL</v>
      </c>
      <c r="O16" s="1" t="e">
        <f t="shared" si="0"/>
        <v>#REF!</v>
      </c>
    </row>
    <row r="17" spans="1:15" hidden="1" x14ac:dyDescent="0.25">
      <c r="A17" s="83">
        <v>70</v>
      </c>
      <c r="B17" s="83" t="s">
        <v>359</v>
      </c>
      <c r="C17" s="60" t="s">
        <v>82</v>
      </c>
      <c r="D17" s="60">
        <v>50</v>
      </c>
      <c r="E17" s="60">
        <v>9</v>
      </c>
      <c r="F17" s="60">
        <v>0</v>
      </c>
      <c r="G17" s="60">
        <v>0</v>
      </c>
      <c r="H17" s="60">
        <v>0</v>
      </c>
      <c r="I17" s="60">
        <v>59</v>
      </c>
      <c r="J17" s="60">
        <v>220</v>
      </c>
      <c r="K17" s="60">
        <v>3</v>
      </c>
      <c r="L17" s="60" t="s">
        <v>18</v>
      </c>
      <c r="M17" s="60"/>
      <c r="N17" s="83" t="str">
        <f>VLOOKUP(B17,Hoja1!$B$1:$C$25,2,0)</f>
        <v>LUISA FERNANDA MEJIA CORREA</v>
      </c>
      <c r="O17" s="1" t="e">
        <f t="shared" si="0"/>
        <v>#REF!</v>
      </c>
    </row>
    <row r="18" spans="1:15" hidden="1" x14ac:dyDescent="0.25">
      <c r="A18" s="83">
        <v>72</v>
      </c>
      <c r="B18" s="83" t="s">
        <v>359</v>
      </c>
      <c r="C18" s="60" t="s">
        <v>45</v>
      </c>
      <c r="D18" s="60">
        <v>5</v>
      </c>
      <c r="E18" s="60">
        <v>32</v>
      </c>
      <c r="F18" s="60">
        <v>0</v>
      </c>
      <c r="G18" s="60">
        <v>0</v>
      </c>
      <c r="H18" s="60">
        <v>0</v>
      </c>
      <c r="I18" s="60">
        <v>37</v>
      </c>
      <c r="J18" s="60">
        <v>15</v>
      </c>
      <c r="K18" s="60">
        <v>0</v>
      </c>
      <c r="L18" s="60" t="s">
        <v>18</v>
      </c>
      <c r="M18" s="60"/>
      <c r="N18" s="83" t="str">
        <f>VLOOKUP(B18,Hoja1!$B$1:$C$25,2,0)</f>
        <v>LUISA FERNANDA MEJIA CORREA</v>
      </c>
      <c r="O18" s="1" t="e">
        <f t="shared" si="0"/>
        <v>#REF!</v>
      </c>
    </row>
    <row r="19" spans="1:15" hidden="1" x14ac:dyDescent="0.25">
      <c r="A19" s="83">
        <v>73</v>
      </c>
      <c r="B19" s="83" t="s">
        <v>359</v>
      </c>
      <c r="C19" s="60" t="s">
        <v>457</v>
      </c>
      <c r="D19" s="60">
        <v>182</v>
      </c>
      <c r="E19" s="60">
        <v>182</v>
      </c>
      <c r="F19" s="60">
        <v>0</v>
      </c>
      <c r="G19" s="60">
        <v>0</v>
      </c>
      <c r="H19" s="60">
        <v>0</v>
      </c>
      <c r="I19" s="60">
        <v>364</v>
      </c>
      <c r="J19" s="60">
        <v>595</v>
      </c>
      <c r="K19" s="60">
        <v>2</v>
      </c>
      <c r="L19" s="60" t="s">
        <v>18</v>
      </c>
      <c r="M19" s="60"/>
      <c r="N19" s="83" t="str">
        <f>VLOOKUP(B19,Hoja1!$B$1:$C$25,2,0)</f>
        <v>LUISA FERNANDA MEJIA CORREA</v>
      </c>
      <c r="O19" s="1" t="e">
        <f t="shared" si="0"/>
        <v>#REF!</v>
      </c>
    </row>
    <row r="20" spans="1:15" hidden="1" x14ac:dyDescent="0.25">
      <c r="A20" s="83">
        <v>74</v>
      </c>
      <c r="B20" s="83" t="s">
        <v>359</v>
      </c>
      <c r="C20" s="60" t="s">
        <v>457</v>
      </c>
      <c r="D20" s="60">
        <v>147</v>
      </c>
      <c r="E20" s="60">
        <v>112</v>
      </c>
      <c r="F20" s="60">
        <v>0</v>
      </c>
      <c r="G20" s="60">
        <v>0</v>
      </c>
      <c r="H20" s="60">
        <v>0</v>
      </c>
      <c r="I20" s="60">
        <v>259</v>
      </c>
      <c r="J20" s="60">
        <v>647</v>
      </c>
      <c r="K20" s="60">
        <v>2</v>
      </c>
      <c r="L20" s="60" t="s">
        <v>18</v>
      </c>
      <c r="M20" s="60"/>
      <c r="N20" s="83" t="str">
        <f>VLOOKUP(B20,Hoja1!$B$1:$C$25,2,0)</f>
        <v>LUISA FERNANDA MEJIA CORREA</v>
      </c>
      <c r="O20" s="1" t="e">
        <f t="shared" si="0"/>
        <v>#REF!</v>
      </c>
    </row>
    <row r="21" spans="1:15" ht="15.75" hidden="1" customHeight="1" x14ac:dyDescent="0.25">
      <c r="A21" s="83">
        <v>106</v>
      </c>
      <c r="B21" s="83" t="s">
        <v>359</v>
      </c>
      <c r="C21" s="60" t="s">
        <v>457</v>
      </c>
      <c r="D21" s="60">
        <v>292</v>
      </c>
      <c r="E21" s="60">
        <v>197</v>
      </c>
      <c r="F21" s="60">
        <v>0</v>
      </c>
      <c r="G21" s="60">
        <v>0</v>
      </c>
      <c r="H21" s="60">
        <v>0</v>
      </c>
      <c r="I21" s="60">
        <v>489</v>
      </c>
      <c r="J21" s="60">
        <v>442</v>
      </c>
      <c r="K21" s="60">
        <v>2</v>
      </c>
      <c r="L21" s="60" t="s">
        <v>18</v>
      </c>
      <c r="M21" s="60"/>
      <c r="N21" s="83" t="str">
        <f>VLOOKUP(B21,Hoja1!$B$1:$C$25,2,0)</f>
        <v>LUISA FERNANDA MEJIA CORREA</v>
      </c>
      <c r="O21" s="1" t="e">
        <f t="shared" si="0"/>
        <v>#REF!</v>
      </c>
    </row>
    <row r="22" spans="1:15" ht="15.75" hidden="1" customHeight="1" x14ac:dyDescent="0.25">
      <c r="A22" s="83">
        <v>107</v>
      </c>
      <c r="B22" s="83" t="s">
        <v>359</v>
      </c>
      <c r="C22" s="60" t="s">
        <v>457</v>
      </c>
      <c r="D22" s="60">
        <v>144</v>
      </c>
      <c r="E22" s="60">
        <v>12</v>
      </c>
      <c r="F22" s="60">
        <v>0</v>
      </c>
      <c r="G22" s="60">
        <v>0</v>
      </c>
      <c r="H22" s="60">
        <v>0</v>
      </c>
      <c r="I22" s="60">
        <v>156</v>
      </c>
      <c r="J22" s="60">
        <v>328</v>
      </c>
      <c r="K22" s="60">
        <v>2</v>
      </c>
      <c r="L22" s="60" t="s">
        <v>18</v>
      </c>
      <c r="M22" s="60"/>
      <c r="N22" s="83" t="str">
        <f>VLOOKUP(B22,Hoja1!$B$1:$C$25,2,0)</f>
        <v>LUISA FERNANDA MEJIA CORREA</v>
      </c>
      <c r="O22" s="1" t="e">
        <f t="shared" si="0"/>
        <v>#REF!</v>
      </c>
    </row>
    <row r="23" spans="1:15" ht="15.75" hidden="1" customHeight="1" x14ac:dyDescent="0.25">
      <c r="A23" s="83">
        <v>108</v>
      </c>
      <c r="B23" s="83" t="s">
        <v>359</v>
      </c>
      <c r="C23" s="60" t="s">
        <v>45</v>
      </c>
      <c r="D23" s="60">
        <v>73</v>
      </c>
      <c r="E23" s="60">
        <v>45</v>
      </c>
      <c r="F23" s="60">
        <v>0</v>
      </c>
      <c r="G23" s="60">
        <v>0</v>
      </c>
      <c r="H23" s="60">
        <v>0</v>
      </c>
      <c r="I23" s="60">
        <v>118</v>
      </c>
      <c r="J23" s="60">
        <v>103</v>
      </c>
      <c r="K23" s="60">
        <v>0</v>
      </c>
      <c r="L23" s="60" t="s">
        <v>18</v>
      </c>
      <c r="M23" s="60"/>
      <c r="N23" s="83" t="str">
        <f>VLOOKUP(B23,Hoja1!$B$1:$C$25,2,0)</f>
        <v>LUISA FERNANDA MEJIA CORREA</v>
      </c>
      <c r="O23" s="1" t="e">
        <f t="shared" si="0"/>
        <v>#REF!</v>
      </c>
    </row>
    <row r="24" spans="1:15" ht="15.75" hidden="1" customHeight="1" x14ac:dyDescent="0.25">
      <c r="A24" s="83">
        <v>110</v>
      </c>
      <c r="B24" s="83" t="s">
        <v>359</v>
      </c>
      <c r="C24" s="60" t="s">
        <v>82</v>
      </c>
      <c r="D24" s="60">
        <v>206</v>
      </c>
      <c r="E24" s="60">
        <v>107</v>
      </c>
      <c r="F24" s="60">
        <v>0</v>
      </c>
      <c r="G24" s="60">
        <v>0</v>
      </c>
      <c r="H24" s="60">
        <v>0</v>
      </c>
      <c r="I24" s="60">
        <v>313</v>
      </c>
      <c r="J24" s="60">
        <v>675</v>
      </c>
      <c r="K24" s="60">
        <v>2</v>
      </c>
      <c r="L24" s="60" t="s">
        <v>18</v>
      </c>
      <c r="M24" s="60"/>
      <c r="N24" s="83" t="str">
        <f>VLOOKUP(B24,Hoja1!$B$1:$C$25,2,0)</f>
        <v>LUISA FERNANDA MEJIA CORREA</v>
      </c>
      <c r="O24" s="1" t="e">
        <f t="shared" si="0"/>
        <v>#REF!</v>
      </c>
    </row>
    <row r="25" spans="1:15" ht="15.75" hidden="1" customHeight="1" x14ac:dyDescent="0.25">
      <c r="A25" s="83">
        <v>113</v>
      </c>
      <c r="B25" s="83" t="s">
        <v>359</v>
      </c>
      <c r="C25" s="60" t="s">
        <v>45</v>
      </c>
      <c r="D25" s="60">
        <v>48</v>
      </c>
      <c r="E25" s="60">
        <v>5</v>
      </c>
      <c r="F25" s="60">
        <v>0</v>
      </c>
      <c r="G25" s="60">
        <v>0</v>
      </c>
      <c r="H25" s="60">
        <v>0</v>
      </c>
      <c r="I25" s="60">
        <v>53</v>
      </c>
      <c r="J25" s="60">
        <v>102</v>
      </c>
      <c r="K25" s="60">
        <v>0</v>
      </c>
      <c r="L25" s="60" t="s">
        <v>18</v>
      </c>
      <c r="M25" s="60"/>
      <c r="N25" s="83" t="str">
        <f>VLOOKUP(B25,Hoja1!$B$1:$C$25,2,0)</f>
        <v>LUISA FERNANDA MEJIA CORREA</v>
      </c>
      <c r="O25" s="1" t="e">
        <f t="shared" si="0"/>
        <v>#REF!</v>
      </c>
    </row>
    <row r="26" spans="1:15" ht="15.75" hidden="1" customHeight="1" x14ac:dyDescent="0.25">
      <c r="A26" s="83">
        <v>114</v>
      </c>
      <c r="B26" s="83" t="s">
        <v>359</v>
      </c>
      <c r="C26" s="60" t="s">
        <v>82</v>
      </c>
      <c r="D26" s="60">
        <v>221</v>
      </c>
      <c r="E26" s="60">
        <v>95</v>
      </c>
      <c r="F26" s="60">
        <v>0</v>
      </c>
      <c r="G26" s="60">
        <v>0</v>
      </c>
      <c r="H26" s="60">
        <v>0</v>
      </c>
      <c r="I26" s="60">
        <v>316</v>
      </c>
      <c r="J26" s="60">
        <v>281</v>
      </c>
      <c r="K26" s="60">
        <v>2</v>
      </c>
      <c r="L26" s="60" t="s">
        <v>18</v>
      </c>
      <c r="M26" s="60"/>
      <c r="N26" s="83" t="str">
        <f>VLOOKUP(B26,Hoja1!$B$1:$C$25,2,0)</f>
        <v>LUISA FERNANDA MEJIA CORREA</v>
      </c>
      <c r="O26" s="1" t="e">
        <f t="shared" si="0"/>
        <v>#REF!</v>
      </c>
    </row>
    <row r="27" spans="1:15" ht="15.75" hidden="1" customHeight="1" x14ac:dyDescent="0.25">
      <c r="A27" s="83">
        <v>186</v>
      </c>
      <c r="B27" s="83" t="s">
        <v>359</v>
      </c>
      <c r="C27" s="60" t="s">
        <v>82</v>
      </c>
      <c r="D27" s="60">
        <v>55</v>
      </c>
      <c r="E27" s="60">
        <v>45</v>
      </c>
      <c r="F27" s="60">
        <v>0</v>
      </c>
      <c r="G27" s="60">
        <v>0</v>
      </c>
      <c r="H27" s="60">
        <v>0</v>
      </c>
      <c r="I27" s="60">
        <v>100</v>
      </c>
      <c r="J27" s="60">
        <v>134</v>
      </c>
      <c r="K27" s="60">
        <v>1</v>
      </c>
      <c r="L27" s="60" t="s">
        <v>18</v>
      </c>
      <c r="M27" s="60"/>
      <c r="N27" s="83" t="str">
        <f>VLOOKUP(B27,Hoja1!$B$1:$C$25,2,0)</f>
        <v>LUISA FERNANDA MEJIA CORREA</v>
      </c>
      <c r="O27" s="1" t="e">
        <f t="shared" si="0"/>
        <v>#REF!</v>
      </c>
    </row>
    <row r="28" spans="1:15" ht="15.75" hidden="1" customHeight="1" x14ac:dyDescent="0.25">
      <c r="A28" s="83">
        <v>258</v>
      </c>
      <c r="B28" s="83" t="s">
        <v>359</v>
      </c>
      <c r="C28" s="60" t="s">
        <v>82</v>
      </c>
      <c r="D28" s="60" t="e">
        <v>#N/A</v>
      </c>
      <c r="E28" s="60" t="e">
        <v>#N/A</v>
      </c>
      <c r="F28" s="60">
        <v>0</v>
      </c>
      <c r="G28" s="60">
        <v>0</v>
      </c>
      <c r="H28" s="60">
        <v>0</v>
      </c>
      <c r="I28" s="60" t="e">
        <v>#N/A</v>
      </c>
      <c r="J28" s="60">
        <v>167</v>
      </c>
      <c r="K28" s="60">
        <v>2</v>
      </c>
      <c r="L28" s="60" t="s">
        <v>18</v>
      </c>
      <c r="M28" s="60"/>
      <c r="N28" s="83" t="str">
        <f>VLOOKUP(B28,Hoja1!$B$1:$C$25,2,0)</f>
        <v>LUISA FERNANDA MEJIA CORREA</v>
      </c>
      <c r="O28" s="1" t="e">
        <f t="shared" si="0"/>
        <v>#REF!</v>
      </c>
    </row>
    <row r="29" spans="1:15" ht="15.75" hidden="1" customHeight="1" x14ac:dyDescent="0.25">
      <c r="A29" s="83">
        <v>281</v>
      </c>
      <c r="B29" s="83" t="s">
        <v>359</v>
      </c>
      <c r="C29" s="60" t="s">
        <v>45</v>
      </c>
      <c r="D29" s="60" t="e">
        <v>#N/A</v>
      </c>
      <c r="E29" s="60" t="e">
        <v>#N/A</v>
      </c>
      <c r="F29" s="60" t="s">
        <v>18</v>
      </c>
      <c r="G29" s="60" t="s">
        <v>18</v>
      </c>
      <c r="H29" s="60" t="s">
        <v>18</v>
      </c>
      <c r="I29" s="60" t="e">
        <v>#N/A</v>
      </c>
      <c r="J29" s="60">
        <v>0</v>
      </c>
      <c r="K29" s="60">
        <v>0</v>
      </c>
      <c r="L29" s="60">
        <v>0</v>
      </c>
      <c r="M29" s="60"/>
      <c r="N29" s="83" t="str">
        <f>VLOOKUP(B29,Hoja1!$B$1:$C$25,2,0)</f>
        <v>LUISA FERNANDA MEJIA CORREA</v>
      </c>
      <c r="O29" s="1" t="e">
        <f t="shared" si="0"/>
        <v>#REF!</v>
      </c>
    </row>
    <row r="30" spans="1:15" ht="15.75" hidden="1" customHeight="1" x14ac:dyDescent="0.25">
      <c r="A30" s="83">
        <v>282</v>
      </c>
      <c r="B30" s="83" t="s">
        <v>359</v>
      </c>
      <c r="C30" s="60" t="s">
        <v>45</v>
      </c>
      <c r="D30" s="60" t="e">
        <v>#N/A</v>
      </c>
      <c r="E30" s="60" t="e">
        <v>#N/A</v>
      </c>
      <c r="F30" s="60" t="s">
        <v>18</v>
      </c>
      <c r="G30" s="60" t="s">
        <v>18</v>
      </c>
      <c r="H30" s="60" t="s">
        <v>18</v>
      </c>
      <c r="I30" s="60" t="e">
        <v>#N/A</v>
      </c>
      <c r="J30" s="60">
        <v>0</v>
      </c>
      <c r="K30" s="60">
        <v>0</v>
      </c>
      <c r="L30" s="60">
        <v>0</v>
      </c>
      <c r="M30" s="60"/>
      <c r="N30" s="83" t="str">
        <f>VLOOKUP(B30,Hoja1!$B$1:$C$25,2,0)</f>
        <v>LUISA FERNANDA MEJIA CORREA</v>
      </c>
      <c r="O30" s="1" t="e">
        <f t="shared" si="0"/>
        <v>#REF!</v>
      </c>
    </row>
    <row r="31" spans="1:15" ht="15.75" hidden="1" customHeight="1" x14ac:dyDescent="0.25">
      <c r="A31" s="83">
        <v>283</v>
      </c>
      <c r="B31" s="83" t="s">
        <v>359</v>
      </c>
      <c r="C31" s="60" t="s">
        <v>45</v>
      </c>
      <c r="D31" s="60" t="e">
        <v>#N/A</v>
      </c>
      <c r="E31" s="60" t="e">
        <v>#N/A</v>
      </c>
      <c r="F31" s="60">
        <v>0</v>
      </c>
      <c r="G31" s="60">
        <v>0</v>
      </c>
      <c r="H31" s="60">
        <v>0</v>
      </c>
      <c r="I31" s="60" t="e">
        <v>#N/A</v>
      </c>
      <c r="J31" s="60">
        <v>0</v>
      </c>
      <c r="K31" s="60">
        <v>0</v>
      </c>
      <c r="L31" s="60">
        <v>0</v>
      </c>
      <c r="M31" s="60"/>
      <c r="N31" s="83" t="str">
        <f>VLOOKUP(B31,Hoja1!$B$1:$C$25,2,0)</f>
        <v>LUISA FERNANDA MEJIA CORREA</v>
      </c>
      <c r="O31" s="1" t="e">
        <f t="shared" si="0"/>
        <v>#REF!</v>
      </c>
    </row>
    <row r="32" spans="1:15" ht="15.75" hidden="1" customHeight="1" x14ac:dyDescent="0.25">
      <c r="A32" s="83">
        <v>284</v>
      </c>
      <c r="B32" s="83" t="s">
        <v>359</v>
      </c>
      <c r="C32" s="60" t="s">
        <v>45</v>
      </c>
      <c r="D32" s="60" t="e">
        <v>#N/A</v>
      </c>
      <c r="E32" s="60" t="e">
        <v>#N/A</v>
      </c>
      <c r="F32" s="60" t="s">
        <v>18</v>
      </c>
      <c r="G32" s="60" t="s">
        <v>18</v>
      </c>
      <c r="H32" s="60" t="s">
        <v>18</v>
      </c>
      <c r="I32" s="60" t="e">
        <v>#N/A</v>
      </c>
      <c r="J32" s="60">
        <v>0</v>
      </c>
      <c r="K32" s="60">
        <v>0</v>
      </c>
      <c r="L32" s="60">
        <v>0</v>
      </c>
      <c r="M32" s="60"/>
      <c r="N32" s="83" t="str">
        <f>VLOOKUP(B32,Hoja1!$B$1:$C$25,2,0)</f>
        <v>LUISA FERNANDA MEJIA CORREA</v>
      </c>
      <c r="O32" s="1" t="e">
        <f t="shared" si="0"/>
        <v>#REF!</v>
      </c>
    </row>
    <row r="33" spans="1:15" ht="15.75" hidden="1" customHeight="1" x14ac:dyDescent="0.25">
      <c r="A33" s="83">
        <v>285</v>
      </c>
      <c r="B33" s="83" t="s">
        <v>359</v>
      </c>
      <c r="C33" s="60" t="s">
        <v>45</v>
      </c>
      <c r="D33" s="60" t="e">
        <v>#N/A</v>
      </c>
      <c r="E33" s="60" t="e">
        <v>#N/A</v>
      </c>
      <c r="F33" s="60" t="s">
        <v>18</v>
      </c>
      <c r="G33" s="60" t="s">
        <v>18</v>
      </c>
      <c r="H33" s="60" t="s">
        <v>18</v>
      </c>
      <c r="I33" s="60" t="e">
        <v>#N/A</v>
      </c>
      <c r="J33" s="60">
        <v>0</v>
      </c>
      <c r="K33" s="60">
        <v>0</v>
      </c>
      <c r="L33" s="60">
        <v>0</v>
      </c>
      <c r="M33" s="60"/>
      <c r="N33" s="83" t="str">
        <f>VLOOKUP(B33,Hoja1!$B$1:$C$25,2,0)</f>
        <v>LUISA FERNANDA MEJIA CORREA</v>
      </c>
      <c r="O33" s="1" t="e">
        <f t="shared" si="0"/>
        <v>#REF!</v>
      </c>
    </row>
    <row r="34" spans="1:15" ht="15.75" hidden="1" customHeight="1" x14ac:dyDescent="0.25">
      <c r="A34" s="83">
        <v>308</v>
      </c>
      <c r="B34" s="83" t="s">
        <v>359</v>
      </c>
      <c r="C34" s="60" t="s">
        <v>45</v>
      </c>
      <c r="D34" s="60" t="e">
        <v>#N/A</v>
      </c>
      <c r="E34" s="60" t="e">
        <v>#N/A</v>
      </c>
      <c r="F34" s="60">
        <v>0</v>
      </c>
      <c r="G34" s="60">
        <v>0</v>
      </c>
      <c r="H34" s="60">
        <v>0</v>
      </c>
      <c r="I34" s="60" t="e">
        <v>#N/A</v>
      </c>
      <c r="J34" s="60">
        <v>0</v>
      </c>
      <c r="K34" s="60">
        <v>0</v>
      </c>
      <c r="L34" s="60">
        <v>0</v>
      </c>
      <c r="M34" s="60"/>
      <c r="N34" s="83" t="str">
        <f>VLOOKUP(B34,Hoja1!$B$1:$C$25,2,0)</f>
        <v>LUISA FERNANDA MEJIA CORREA</v>
      </c>
      <c r="O34" s="1" t="e">
        <f t="shared" si="0"/>
        <v>#REF!</v>
      </c>
    </row>
    <row r="35" spans="1:15" ht="15.75" hidden="1" customHeight="1" x14ac:dyDescent="0.25">
      <c r="A35" s="83" t="s">
        <v>360</v>
      </c>
      <c r="B35" s="83" t="s">
        <v>359</v>
      </c>
      <c r="C35" s="60" t="s">
        <v>82</v>
      </c>
      <c r="D35" s="60" t="e">
        <v>#N/A</v>
      </c>
      <c r="E35" s="60" t="e">
        <v>#N/A</v>
      </c>
      <c r="F35" s="60">
        <v>0</v>
      </c>
      <c r="G35" s="60">
        <v>0</v>
      </c>
      <c r="H35" s="60">
        <v>0</v>
      </c>
      <c r="I35" s="60" t="e">
        <v>#N/A</v>
      </c>
      <c r="J35" s="60">
        <v>0</v>
      </c>
      <c r="K35" s="60">
        <v>0</v>
      </c>
      <c r="L35" s="60" t="s">
        <v>18</v>
      </c>
      <c r="M35" s="60"/>
      <c r="N35" s="83" t="str">
        <f>VLOOKUP(B35,Hoja1!$B$1:$C$25,2,0)</f>
        <v>LUISA FERNANDA MEJIA CORREA</v>
      </c>
      <c r="O35" s="1" t="e">
        <f t="shared" si="0"/>
        <v>#REF!</v>
      </c>
    </row>
    <row r="36" spans="1:15" ht="15.75" hidden="1" customHeight="1" x14ac:dyDescent="0.25">
      <c r="A36" s="83" t="s">
        <v>361</v>
      </c>
      <c r="B36" s="83" t="s">
        <v>359</v>
      </c>
      <c r="C36" s="60" t="s">
        <v>82</v>
      </c>
      <c r="D36" s="60" t="e">
        <v>#N/A</v>
      </c>
      <c r="E36" s="60" t="e">
        <v>#N/A</v>
      </c>
      <c r="F36" s="60">
        <v>0</v>
      </c>
      <c r="G36" s="60">
        <v>0</v>
      </c>
      <c r="H36" s="60">
        <v>0</v>
      </c>
      <c r="I36" s="60" t="e">
        <v>#N/A</v>
      </c>
      <c r="J36" s="60">
        <v>91</v>
      </c>
      <c r="K36" s="60">
        <v>0</v>
      </c>
      <c r="L36" s="60" t="s">
        <v>18</v>
      </c>
      <c r="M36" s="60"/>
      <c r="N36" s="83" t="str">
        <f>VLOOKUP(B36,Hoja1!$B$1:$C$25,2,0)</f>
        <v>LUISA FERNANDA MEJIA CORREA</v>
      </c>
      <c r="O36" s="1" t="e">
        <f t="shared" si="0"/>
        <v>#REF!</v>
      </c>
    </row>
    <row r="37" spans="1:15" ht="15.75" hidden="1" customHeight="1" x14ac:dyDescent="0.25">
      <c r="A37" s="83" t="s">
        <v>362</v>
      </c>
      <c r="B37" s="83" t="s">
        <v>359</v>
      </c>
      <c r="C37" s="60" t="s">
        <v>82</v>
      </c>
      <c r="D37" s="60">
        <v>343</v>
      </c>
      <c r="E37" s="60">
        <v>94</v>
      </c>
      <c r="F37" s="60">
        <v>0</v>
      </c>
      <c r="G37" s="60">
        <v>0</v>
      </c>
      <c r="H37" s="60">
        <v>0</v>
      </c>
      <c r="I37" s="60">
        <v>437</v>
      </c>
      <c r="J37" s="60">
        <v>69</v>
      </c>
      <c r="K37" s="60">
        <v>1</v>
      </c>
      <c r="L37" s="60" t="s">
        <v>18</v>
      </c>
      <c r="M37" s="60"/>
      <c r="N37" s="83" t="str">
        <f>VLOOKUP(B37,Hoja1!$B$1:$C$25,2,0)</f>
        <v>LUISA FERNANDA MEJIA CORREA</v>
      </c>
      <c r="O37" s="1" t="e">
        <f t="shared" si="0"/>
        <v>#REF!</v>
      </c>
    </row>
    <row r="38" spans="1:15" ht="15.75" hidden="1" customHeight="1" x14ac:dyDescent="0.25">
      <c r="A38" s="83">
        <v>71</v>
      </c>
      <c r="B38" s="83" t="s">
        <v>359</v>
      </c>
      <c r="C38" s="60" t="s">
        <v>458</v>
      </c>
      <c r="D38" s="60">
        <v>61</v>
      </c>
      <c r="E38" s="60">
        <v>48</v>
      </c>
      <c r="F38" s="60">
        <v>0</v>
      </c>
      <c r="G38" s="60">
        <v>0</v>
      </c>
      <c r="H38" s="60">
        <v>0</v>
      </c>
      <c r="I38" s="60">
        <v>109</v>
      </c>
      <c r="J38" s="60">
        <v>0</v>
      </c>
      <c r="K38" s="60">
        <v>0</v>
      </c>
      <c r="L38" s="60">
        <v>0</v>
      </c>
      <c r="M38" s="60"/>
      <c r="N38" s="83" t="str">
        <f>VLOOKUP(B38,Hoja1!$B$1:$C$25,2,0)</f>
        <v>LUISA FERNANDA MEJIA CORREA</v>
      </c>
      <c r="O38" s="1" t="e">
        <f t="shared" si="0"/>
        <v>#REF!</v>
      </c>
    </row>
    <row r="39" spans="1:15" ht="15.75" hidden="1" customHeight="1" x14ac:dyDescent="0.25">
      <c r="A39" s="83">
        <v>345</v>
      </c>
      <c r="B39" s="83" t="s">
        <v>359</v>
      </c>
      <c r="C39" s="60"/>
      <c r="D39" s="60"/>
      <c r="E39" s="60"/>
      <c r="F39" s="60"/>
      <c r="G39" s="60"/>
      <c r="H39" s="60"/>
      <c r="I39" s="60"/>
      <c r="J39" s="60">
        <v>0</v>
      </c>
      <c r="K39" s="60"/>
      <c r="L39" s="60"/>
      <c r="M39" s="60"/>
      <c r="N39" s="83" t="str">
        <f>VLOOKUP(B39,Hoja1!$B$1:$C$25,2,0)</f>
        <v>LUISA FERNANDA MEJIA CORREA</v>
      </c>
      <c r="O39" s="1" t="e">
        <f t="shared" si="0"/>
        <v>#REF!</v>
      </c>
    </row>
    <row r="40" spans="1:15" ht="15.75" hidden="1" customHeight="1" x14ac:dyDescent="0.25">
      <c r="A40" s="83">
        <v>248</v>
      </c>
      <c r="B40" s="83" t="s">
        <v>359</v>
      </c>
      <c r="C40" s="60" t="s">
        <v>45</v>
      </c>
      <c r="D40" s="60">
        <v>23</v>
      </c>
      <c r="E40" s="60">
        <v>0</v>
      </c>
      <c r="F40" s="60">
        <v>0</v>
      </c>
      <c r="G40" s="60">
        <v>0</v>
      </c>
      <c r="H40" s="60">
        <v>0</v>
      </c>
      <c r="I40" s="60">
        <v>23</v>
      </c>
      <c r="J40" s="60">
        <v>0</v>
      </c>
      <c r="K40" s="60">
        <v>0</v>
      </c>
      <c r="L40" s="60">
        <v>0</v>
      </c>
      <c r="M40" s="60"/>
      <c r="N40" s="83" t="str">
        <f>VLOOKUP(B40,Hoja1!$B$1:$C$25,2,0)</f>
        <v>LUISA FERNANDA MEJIA CORREA</v>
      </c>
      <c r="O40" s="1" t="e">
        <f t="shared" si="0"/>
        <v>#REF!</v>
      </c>
    </row>
    <row r="41" spans="1:15" ht="15.75" hidden="1" customHeight="1" x14ac:dyDescent="0.25">
      <c r="A41" s="83">
        <v>133</v>
      </c>
      <c r="B41" s="83" t="s">
        <v>363</v>
      </c>
      <c r="C41" s="60" t="s">
        <v>82</v>
      </c>
      <c r="D41" s="60">
        <v>108</v>
      </c>
      <c r="E41" s="60">
        <v>58</v>
      </c>
      <c r="F41" s="60">
        <v>0</v>
      </c>
      <c r="G41" s="60">
        <v>0</v>
      </c>
      <c r="H41" s="60">
        <v>0</v>
      </c>
      <c r="I41" s="60">
        <v>166</v>
      </c>
      <c r="J41" s="60">
        <v>140</v>
      </c>
      <c r="K41" s="60">
        <v>1</v>
      </c>
      <c r="L41" s="60" t="s">
        <v>18</v>
      </c>
      <c r="M41" s="60"/>
      <c r="N41" s="83" t="str">
        <f>VLOOKUP(B41,Hoja1!$B$1:$C$25,2,0)</f>
        <v>EDGAR JAVIER CASTAÑEDA GIL</v>
      </c>
      <c r="O41" s="1" t="e">
        <f t="shared" si="0"/>
        <v>#REF!</v>
      </c>
    </row>
    <row r="42" spans="1:15" ht="15.75" hidden="1" customHeight="1" x14ac:dyDescent="0.25">
      <c r="A42" s="83">
        <v>134</v>
      </c>
      <c r="B42" s="83" t="s">
        <v>363</v>
      </c>
      <c r="C42" s="60" t="s">
        <v>45</v>
      </c>
      <c r="D42" s="60">
        <v>97</v>
      </c>
      <c r="E42" s="60">
        <v>1</v>
      </c>
      <c r="F42" s="60">
        <v>0</v>
      </c>
      <c r="G42" s="60">
        <v>0</v>
      </c>
      <c r="H42" s="60">
        <v>0</v>
      </c>
      <c r="I42" s="60">
        <v>98</v>
      </c>
      <c r="J42" s="60">
        <v>73</v>
      </c>
      <c r="K42" s="60">
        <v>1</v>
      </c>
      <c r="L42" s="60" t="s">
        <v>18</v>
      </c>
      <c r="M42" s="60"/>
      <c r="N42" s="83" t="str">
        <f>VLOOKUP(B42,Hoja1!$B$1:$C$25,2,0)</f>
        <v>EDGAR JAVIER CASTAÑEDA GIL</v>
      </c>
      <c r="O42" s="1" t="e">
        <f t="shared" si="0"/>
        <v>#REF!</v>
      </c>
    </row>
    <row r="43" spans="1:15" ht="15.75" hidden="1" customHeight="1" x14ac:dyDescent="0.25">
      <c r="A43" s="83">
        <v>136</v>
      </c>
      <c r="B43" s="83" t="s">
        <v>363</v>
      </c>
      <c r="C43" s="60" t="s">
        <v>82</v>
      </c>
      <c r="D43" s="60">
        <v>557</v>
      </c>
      <c r="E43" s="60">
        <v>97</v>
      </c>
      <c r="F43" s="60">
        <v>0</v>
      </c>
      <c r="G43" s="60">
        <v>0</v>
      </c>
      <c r="H43" s="60">
        <v>0</v>
      </c>
      <c r="I43" s="60">
        <v>654</v>
      </c>
      <c r="J43" s="60">
        <v>414</v>
      </c>
      <c r="K43" s="60">
        <v>5</v>
      </c>
      <c r="L43" s="60">
        <f t="shared" ref="L43:L44" si="3">I43-J43</f>
        <v>240</v>
      </c>
      <c r="M43" s="84">
        <v>45046</v>
      </c>
      <c r="N43" s="83" t="str">
        <f>VLOOKUP(B43,Hoja1!$B$1:$C$25,2,0)</f>
        <v>EDGAR JAVIER CASTAÑEDA GIL</v>
      </c>
      <c r="O43" s="1" t="e">
        <f t="shared" si="0"/>
        <v>#REF!</v>
      </c>
    </row>
    <row r="44" spans="1:15" ht="15.75" hidden="1" customHeight="1" x14ac:dyDescent="0.25">
      <c r="A44" s="83">
        <v>141</v>
      </c>
      <c r="B44" s="83" t="s">
        <v>363</v>
      </c>
      <c r="C44" s="60" t="s">
        <v>82</v>
      </c>
      <c r="D44" s="60">
        <v>743</v>
      </c>
      <c r="E44" s="60">
        <v>1065</v>
      </c>
      <c r="F44" s="60">
        <v>338</v>
      </c>
      <c r="G44" s="60">
        <v>1173</v>
      </c>
      <c r="H44" s="60">
        <v>297</v>
      </c>
      <c r="I44" s="60">
        <v>1100</v>
      </c>
      <c r="J44" s="60">
        <v>524</v>
      </c>
      <c r="K44" s="60">
        <v>4</v>
      </c>
      <c r="L44" s="60">
        <f t="shared" si="3"/>
        <v>576</v>
      </c>
      <c r="M44" s="84">
        <v>45046</v>
      </c>
      <c r="N44" s="83" t="str">
        <f>VLOOKUP(B44,Hoja1!$B$1:$C$25,2,0)</f>
        <v>EDGAR JAVIER CASTAÑEDA GIL</v>
      </c>
      <c r="O44" s="1" t="e">
        <f t="shared" si="0"/>
        <v>#REF!</v>
      </c>
    </row>
    <row r="45" spans="1:15" ht="15.75" hidden="1" customHeight="1" x14ac:dyDescent="0.25">
      <c r="A45" s="83">
        <v>148</v>
      </c>
      <c r="B45" s="83" t="s">
        <v>425</v>
      </c>
      <c r="C45" s="60" t="s">
        <v>82</v>
      </c>
      <c r="D45" s="60">
        <v>770</v>
      </c>
      <c r="E45" s="60">
        <v>470</v>
      </c>
      <c r="F45" s="60">
        <v>510</v>
      </c>
      <c r="G45" s="60">
        <v>415</v>
      </c>
      <c r="H45" s="60">
        <v>315</v>
      </c>
      <c r="I45" s="60">
        <v>2480</v>
      </c>
      <c r="J45" s="60">
        <v>546</v>
      </c>
      <c r="K45" s="60">
        <v>3</v>
      </c>
      <c r="L45" s="60" t="s">
        <v>18</v>
      </c>
      <c r="M45" s="60"/>
      <c r="N45" s="83" t="str">
        <f>VLOOKUP(B45,Hoja1!$B$1:$C$25,2,0)</f>
        <v>LUISA FERNANDA MEJIA CORREA</v>
      </c>
      <c r="O45" s="1" t="e">
        <f t="shared" si="0"/>
        <v>#REF!</v>
      </c>
    </row>
    <row r="46" spans="1:15" ht="15.75" hidden="1" customHeight="1" x14ac:dyDescent="0.25">
      <c r="A46" s="83">
        <v>194</v>
      </c>
      <c r="B46" s="83" t="s">
        <v>363</v>
      </c>
      <c r="C46" s="60" t="s">
        <v>82</v>
      </c>
      <c r="D46" s="60">
        <v>51</v>
      </c>
      <c r="E46" s="60">
        <v>25</v>
      </c>
      <c r="F46" s="60">
        <v>0</v>
      </c>
      <c r="G46" s="60">
        <v>0</v>
      </c>
      <c r="H46" s="60">
        <v>0</v>
      </c>
      <c r="I46" s="60">
        <v>76</v>
      </c>
      <c r="J46" s="60">
        <v>8</v>
      </c>
      <c r="K46" s="60">
        <v>1</v>
      </c>
      <c r="L46" s="60">
        <f>I46-J46</f>
        <v>68</v>
      </c>
      <c r="M46" s="84">
        <v>45046</v>
      </c>
      <c r="N46" s="83" t="str">
        <f>VLOOKUP(B46,Hoja1!$B$1:$C$25,2,0)</f>
        <v>EDGAR JAVIER CASTAÑEDA GIL</v>
      </c>
      <c r="O46" s="1" t="e">
        <f t="shared" si="0"/>
        <v>#REF!</v>
      </c>
    </row>
    <row r="47" spans="1:15" ht="15.75" hidden="1" customHeight="1" x14ac:dyDescent="0.25">
      <c r="A47" s="83">
        <v>203</v>
      </c>
      <c r="B47" s="83" t="s">
        <v>425</v>
      </c>
      <c r="C47" s="60" t="s">
        <v>45</v>
      </c>
      <c r="D47" s="60">
        <v>18</v>
      </c>
      <c r="E47" s="60">
        <v>0</v>
      </c>
      <c r="F47" s="60">
        <v>18</v>
      </c>
      <c r="G47" s="60">
        <v>0</v>
      </c>
      <c r="H47" s="60">
        <v>0</v>
      </c>
      <c r="I47" s="60">
        <v>36</v>
      </c>
      <c r="J47" s="60">
        <v>53</v>
      </c>
      <c r="K47" s="60">
        <v>3</v>
      </c>
      <c r="L47" s="60" t="s">
        <v>18</v>
      </c>
      <c r="M47" s="60"/>
      <c r="N47" s="83" t="str">
        <f>VLOOKUP(B47,Hoja1!$B$1:$C$25,2,0)</f>
        <v>LUISA FERNANDA MEJIA CORREA</v>
      </c>
      <c r="O47" s="1" t="e">
        <f t="shared" si="0"/>
        <v>#REF!</v>
      </c>
    </row>
    <row r="48" spans="1:15" ht="15.75" hidden="1" customHeight="1" x14ac:dyDescent="0.25">
      <c r="A48" s="83">
        <v>220</v>
      </c>
      <c r="B48" s="83" t="s">
        <v>363</v>
      </c>
      <c r="C48" s="60" t="s">
        <v>45</v>
      </c>
      <c r="D48" s="60">
        <v>11</v>
      </c>
      <c r="E48" s="60">
        <v>21</v>
      </c>
      <c r="F48" s="60">
        <v>0</v>
      </c>
      <c r="G48" s="60">
        <v>0</v>
      </c>
      <c r="H48" s="60">
        <v>0</v>
      </c>
      <c r="I48" s="60">
        <v>32</v>
      </c>
      <c r="J48" s="60">
        <v>0</v>
      </c>
      <c r="K48" s="60">
        <v>0</v>
      </c>
      <c r="L48" s="60">
        <v>0</v>
      </c>
      <c r="M48" s="60"/>
      <c r="N48" s="83" t="str">
        <f>VLOOKUP(B48,Hoja1!$B$1:$C$25,2,0)</f>
        <v>EDGAR JAVIER CASTAÑEDA GIL</v>
      </c>
      <c r="O48" s="1" t="e">
        <f t="shared" si="0"/>
        <v>#REF!</v>
      </c>
    </row>
    <row r="49" spans="1:15" ht="15.75" hidden="1" customHeight="1" x14ac:dyDescent="0.25">
      <c r="A49" s="83">
        <v>256</v>
      </c>
      <c r="B49" s="83" t="s">
        <v>363</v>
      </c>
      <c r="C49" s="60" t="s">
        <v>45</v>
      </c>
      <c r="D49" s="60">
        <v>1</v>
      </c>
      <c r="E49" s="60">
        <v>5</v>
      </c>
      <c r="F49" s="60">
        <v>0</v>
      </c>
      <c r="G49" s="60">
        <v>0</v>
      </c>
      <c r="H49" s="60">
        <v>0</v>
      </c>
      <c r="I49" s="60">
        <v>6</v>
      </c>
      <c r="J49" s="60">
        <v>0</v>
      </c>
      <c r="K49" s="60">
        <v>0</v>
      </c>
      <c r="L49" s="60">
        <v>0</v>
      </c>
      <c r="M49" s="60"/>
      <c r="N49" s="83" t="str">
        <f>VLOOKUP(B49,Hoja1!$B$1:$C$25,2,0)</f>
        <v>EDGAR JAVIER CASTAÑEDA GIL</v>
      </c>
      <c r="O49" s="1" t="e">
        <f t="shared" si="0"/>
        <v>#REF!</v>
      </c>
    </row>
    <row r="50" spans="1:15" ht="15.75" hidden="1" customHeight="1" x14ac:dyDescent="0.25">
      <c r="A50" s="83">
        <v>302</v>
      </c>
      <c r="B50" s="83" t="s">
        <v>425</v>
      </c>
      <c r="C50" s="60" t="s">
        <v>45</v>
      </c>
      <c r="D50" s="60">
        <v>39</v>
      </c>
      <c r="E50" s="60">
        <v>68</v>
      </c>
      <c r="F50" s="60">
        <v>68</v>
      </c>
      <c r="G50" s="60">
        <v>0</v>
      </c>
      <c r="H50" s="60">
        <v>39</v>
      </c>
      <c r="I50" s="60">
        <v>214</v>
      </c>
      <c r="J50" s="60">
        <v>172</v>
      </c>
      <c r="K50" s="60">
        <v>3</v>
      </c>
      <c r="L50" s="60" t="s">
        <v>18</v>
      </c>
      <c r="M50" s="60"/>
      <c r="N50" s="83" t="str">
        <f>VLOOKUP(B50,Hoja1!$B$1:$C$25,2,0)</f>
        <v>LUISA FERNANDA MEJIA CORREA</v>
      </c>
      <c r="O50" s="1" t="e">
        <f t="shared" si="0"/>
        <v>#REF!</v>
      </c>
    </row>
    <row r="51" spans="1:15" ht="15.75" hidden="1" customHeight="1" x14ac:dyDescent="0.25">
      <c r="A51" s="83" t="s">
        <v>364</v>
      </c>
      <c r="B51" s="83" t="s">
        <v>363</v>
      </c>
      <c r="C51" s="60" t="s">
        <v>82</v>
      </c>
      <c r="D51" s="60">
        <v>205</v>
      </c>
      <c r="E51" s="60">
        <v>150</v>
      </c>
      <c r="F51" s="60">
        <v>0</v>
      </c>
      <c r="G51" s="60">
        <v>0</v>
      </c>
      <c r="H51" s="60">
        <v>0</v>
      </c>
      <c r="I51" s="60">
        <v>355</v>
      </c>
      <c r="J51" s="60">
        <v>225</v>
      </c>
      <c r="K51" s="60">
        <v>2</v>
      </c>
      <c r="L51" s="60">
        <f t="shared" ref="L51:L54" si="4">I51-J51</f>
        <v>130</v>
      </c>
      <c r="M51" s="84">
        <v>44985</v>
      </c>
      <c r="N51" s="83" t="str">
        <f>VLOOKUP(B51,Hoja1!$B$1:$C$25,2,0)</f>
        <v>EDGAR JAVIER CASTAÑEDA GIL</v>
      </c>
      <c r="O51" s="1" t="e">
        <f t="shared" si="0"/>
        <v>#REF!</v>
      </c>
    </row>
    <row r="52" spans="1:15" ht="15.75" hidden="1" customHeight="1" x14ac:dyDescent="0.25">
      <c r="A52" s="83" t="s">
        <v>365</v>
      </c>
      <c r="B52" s="83" t="s">
        <v>363</v>
      </c>
      <c r="C52" s="60" t="s">
        <v>82</v>
      </c>
      <c r="D52" s="60">
        <v>466</v>
      </c>
      <c r="E52" s="60">
        <v>161</v>
      </c>
      <c r="F52" s="60">
        <v>0</v>
      </c>
      <c r="G52" s="60">
        <v>0</v>
      </c>
      <c r="H52" s="60">
        <v>0</v>
      </c>
      <c r="I52" s="60">
        <v>627</v>
      </c>
      <c r="J52" s="60">
        <v>382</v>
      </c>
      <c r="K52" s="60">
        <v>4</v>
      </c>
      <c r="L52" s="60">
        <f t="shared" si="4"/>
        <v>245</v>
      </c>
      <c r="M52" s="84">
        <v>44985</v>
      </c>
      <c r="N52" s="83" t="str">
        <f>VLOOKUP(B52,Hoja1!$B$1:$C$25,2,0)</f>
        <v>EDGAR JAVIER CASTAÑEDA GIL</v>
      </c>
      <c r="O52" s="1" t="e">
        <f t="shared" si="0"/>
        <v>#REF!</v>
      </c>
    </row>
    <row r="53" spans="1:15" ht="15.75" hidden="1" customHeight="1" x14ac:dyDescent="0.25">
      <c r="A53" s="83">
        <v>22</v>
      </c>
      <c r="B53" s="83" t="s">
        <v>366</v>
      </c>
      <c r="C53" s="60" t="s">
        <v>82</v>
      </c>
      <c r="D53" s="60">
        <v>202</v>
      </c>
      <c r="E53" s="60">
        <v>86</v>
      </c>
      <c r="F53" s="60">
        <v>0</v>
      </c>
      <c r="G53" s="60">
        <v>0</v>
      </c>
      <c r="H53" s="60">
        <v>0</v>
      </c>
      <c r="I53" s="60">
        <v>288</v>
      </c>
      <c r="J53" s="60">
        <v>356</v>
      </c>
      <c r="K53" s="60">
        <v>7</v>
      </c>
      <c r="L53" s="60">
        <f t="shared" si="4"/>
        <v>-68</v>
      </c>
      <c r="M53" s="60"/>
      <c r="N53" s="83" t="str">
        <f>VLOOKUP(B53,Hoja1!$B$1:$C$25,2,0)</f>
        <v>EDGAR JAVIER CASTAÑEDA GIL</v>
      </c>
      <c r="O53" s="1" t="e">
        <f t="shared" si="0"/>
        <v>#REF!</v>
      </c>
    </row>
    <row r="54" spans="1:15" ht="15.75" hidden="1" customHeight="1" x14ac:dyDescent="0.25">
      <c r="A54" s="83">
        <v>27</v>
      </c>
      <c r="B54" s="83" t="s">
        <v>366</v>
      </c>
      <c r="C54" s="60" t="s">
        <v>45</v>
      </c>
      <c r="D54" s="60">
        <v>38</v>
      </c>
      <c r="E54" s="60">
        <v>12</v>
      </c>
      <c r="F54" s="60">
        <v>0</v>
      </c>
      <c r="G54" s="60">
        <v>0</v>
      </c>
      <c r="H54" s="60">
        <v>0</v>
      </c>
      <c r="I54" s="60">
        <v>50</v>
      </c>
      <c r="J54" s="60">
        <v>0</v>
      </c>
      <c r="K54" s="60">
        <v>0</v>
      </c>
      <c r="L54" s="60">
        <f t="shared" si="4"/>
        <v>50</v>
      </c>
      <c r="M54" s="84">
        <v>44985</v>
      </c>
      <c r="N54" s="83" t="str">
        <f>VLOOKUP(B54,Hoja1!$B$1:$C$25,2,0)</f>
        <v>EDGAR JAVIER CASTAÑEDA GIL</v>
      </c>
      <c r="O54" s="1" t="e">
        <f t="shared" si="0"/>
        <v>#REF!</v>
      </c>
    </row>
    <row r="55" spans="1:15" ht="15.75" hidden="1" customHeight="1" x14ac:dyDescent="0.25">
      <c r="A55" s="83">
        <v>29</v>
      </c>
      <c r="B55" s="83" t="s">
        <v>366</v>
      </c>
      <c r="C55" s="60" t="s">
        <v>45</v>
      </c>
      <c r="D55" s="60">
        <v>12</v>
      </c>
      <c r="E55" s="60">
        <v>5</v>
      </c>
      <c r="F55" s="60" t="s">
        <v>459</v>
      </c>
      <c r="G55" s="60" t="s">
        <v>459</v>
      </c>
      <c r="H55" s="60" t="s">
        <v>459</v>
      </c>
      <c r="I55" s="60" t="s">
        <v>460</v>
      </c>
      <c r="J55" s="60">
        <v>0</v>
      </c>
      <c r="K55" s="60">
        <v>0</v>
      </c>
      <c r="L55" s="60">
        <v>0</v>
      </c>
      <c r="M55" s="60" t="s">
        <v>18</v>
      </c>
      <c r="N55" s="83" t="str">
        <f>VLOOKUP(B55,Hoja1!$B$1:$C$25,2,0)</f>
        <v>EDGAR JAVIER CASTAÑEDA GIL</v>
      </c>
      <c r="O55" s="1" t="e">
        <f t="shared" si="0"/>
        <v>#REF!</v>
      </c>
    </row>
    <row r="56" spans="1:15" ht="15.75" hidden="1" customHeight="1" x14ac:dyDescent="0.25">
      <c r="A56" s="83">
        <v>30</v>
      </c>
      <c r="B56" s="83" t="s">
        <v>366</v>
      </c>
      <c r="C56" s="60" t="s">
        <v>82</v>
      </c>
      <c r="D56" s="60">
        <v>614</v>
      </c>
      <c r="E56" s="60">
        <v>280</v>
      </c>
      <c r="F56" s="60">
        <v>16</v>
      </c>
      <c r="G56" s="60">
        <v>628</v>
      </c>
      <c r="H56" s="60">
        <v>250</v>
      </c>
      <c r="I56" s="60">
        <v>1788</v>
      </c>
      <c r="J56" s="60">
        <v>0</v>
      </c>
      <c r="K56" s="60">
        <v>6</v>
      </c>
      <c r="L56" s="60">
        <f t="shared" ref="L56:L58" si="5">I56-J56</f>
        <v>1788</v>
      </c>
      <c r="M56" s="84">
        <v>45000</v>
      </c>
      <c r="N56" s="83" t="str">
        <f>VLOOKUP(B56,Hoja1!$B$1:$C$25,2,0)</f>
        <v>EDGAR JAVIER CASTAÑEDA GIL</v>
      </c>
      <c r="O56" s="1" t="e">
        <f t="shared" si="0"/>
        <v>#REF!</v>
      </c>
    </row>
    <row r="57" spans="1:15" ht="15.75" hidden="1" customHeight="1" x14ac:dyDescent="0.25">
      <c r="A57" s="83">
        <v>38</v>
      </c>
      <c r="B57" s="83" t="s">
        <v>366</v>
      </c>
      <c r="C57" s="60" t="s">
        <v>45</v>
      </c>
      <c r="D57" s="60">
        <v>18</v>
      </c>
      <c r="E57" s="60">
        <v>4</v>
      </c>
      <c r="F57" s="60">
        <v>0</v>
      </c>
      <c r="G57" s="60">
        <v>0</v>
      </c>
      <c r="H57" s="60">
        <v>0</v>
      </c>
      <c r="I57" s="60">
        <v>22</v>
      </c>
      <c r="J57" s="60">
        <v>0</v>
      </c>
      <c r="K57" s="60">
        <v>0</v>
      </c>
      <c r="L57" s="60">
        <f t="shared" si="5"/>
        <v>22</v>
      </c>
      <c r="M57" s="84">
        <v>44985</v>
      </c>
      <c r="N57" s="83" t="str">
        <f>VLOOKUP(B57,Hoja1!$B$1:$C$25,2,0)</f>
        <v>EDGAR JAVIER CASTAÑEDA GIL</v>
      </c>
      <c r="O57" s="1" t="e">
        <f t="shared" si="0"/>
        <v>#REF!</v>
      </c>
    </row>
    <row r="58" spans="1:15" ht="15.75" hidden="1" customHeight="1" x14ac:dyDescent="0.25">
      <c r="A58" s="83">
        <v>199</v>
      </c>
      <c r="B58" s="83" t="s">
        <v>366</v>
      </c>
      <c r="C58" s="60" t="s">
        <v>82</v>
      </c>
      <c r="D58" s="60">
        <v>149</v>
      </c>
      <c r="E58" s="60">
        <v>54</v>
      </c>
      <c r="F58" s="60">
        <v>0</v>
      </c>
      <c r="G58" s="60">
        <v>0</v>
      </c>
      <c r="H58" s="60">
        <v>0</v>
      </c>
      <c r="I58" s="60">
        <v>203</v>
      </c>
      <c r="J58" s="60">
        <v>0</v>
      </c>
      <c r="K58" s="60">
        <v>2</v>
      </c>
      <c r="L58" s="60">
        <f t="shared" si="5"/>
        <v>203</v>
      </c>
      <c r="M58" s="84">
        <v>44985</v>
      </c>
      <c r="N58" s="83" t="str">
        <f>VLOOKUP(B58,Hoja1!$B$1:$C$25,2,0)</f>
        <v>EDGAR JAVIER CASTAÑEDA GIL</v>
      </c>
      <c r="O58" s="1" t="e">
        <f t="shared" si="0"/>
        <v>#REF!</v>
      </c>
    </row>
    <row r="59" spans="1:15" ht="15.75" hidden="1" customHeight="1" x14ac:dyDescent="0.25">
      <c r="A59" s="83">
        <v>294</v>
      </c>
      <c r="B59" s="83" t="s">
        <v>366</v>
      </c>
      <c r="C59" s="60" t="s">
        <v>45</v>
      </c>
      <c r="D59" s="60" t="e">
        <v>#N/A</v>
      </c>
      <c r="E59" s="60" t="e">
        <v>#N/A</v>
      </c>
      <c r="F59" s="60">
        <v>0</v>
      </c>
      <c r="G59" s="60">
        <v>0</v>
      </c>
      <c r="H59" s="60">
        <v>0</v>
      </c>
      <c r="I59" s="60" t="e">
        <v>#N/A</v>
      </c>
      <c r="J59" s="60">
        <v>0</v>
      </c>
      <c r="K59" s="60">
        <v>0</v>
      </c>
      <c r="L59" s="60">
        <v>0</v>
      </c>
      <c r="M59" s="60" t="s">
        <v>18</v>
      </c>
      <c r="N59" s="83" t="str">
        <f>VLOOKUP(B59,Hoja1!$B$1:$C$25,2,0)</f>
        <v>EDGAR JAVIER CASTAÑEDA GIL</v>
      </c>
      <c r="O59" s="1" t="e">
        <f t="shared" si="0"/>
        <v>#REF!</v>
      </c>
    </row>
    <row r="60" spans="1:15" ht="15.75" hidden="1" customHeight="1" x14ac:dyDescent="0.25">
      <c r="A60" s="83">
        <v>317</v>
      </c>
      <c r="B60" s="83" t="s">
        <v>366</v>
      </c>
      <c r="C60" s="60" t="s">
        <v>82</v>
      </c>
      <c r="D60" s="60">
        <v>420</v>
      </c>
      <c r="E60" s="60">
        <v>0</v>
      </c>
      <c r="F60" s="60">
        <v>0</v>
      </c>
      <c r="G60" s="60">
        <v>0</v>
      </c>
      <c r="H60" s="60">
        <v>420</v>
      </c>
      <c r="I60" s="60">
        <v>840</v>
      </c>
      <c r="J60" s="60">
        <v>0</v>
      </c>
      <c r="K60" s="60">
        <v>2</v>
      </c>
      <c r="L60" s="60">
        <f t="shared" ref="L60:L61" si="6">I60-J60</f>
        <v>840</v>
      </c>
      <c r="M60" s="84">
        <v>45030</v>
      </c>
      <c r="N60" s="83" t="str">
        <f>VLOOKUP(B60,Hoja1!$B$1:$C$25,2,0)</f>
        <v>EDGAR JAVIER CASTAÑEDA GIL</v>
      </c>
      <c r="O60" s="1" t="e">
        <f t="shared" si="0"/>
        <v>#REF!</v>
      </c>
    </row>
    <row r="61" spans="1:15" ht="15.75" hidden="1" customHeight="1" x14ac:dyDescent="0.25">
      <c r="A61" s="83" t="s">
        <v>367</v>
      </c>
      <c r="B61" s="83" t="s">
        <v>366</v>
      </c>
      <c r="C61" s="60" t="s">
        <v>82</v>
      </c>
      <c r="D61" s="60">
        <v>741</v>
      </c>
      <c r="E61" s="60">
        <v>321</v>
      </c>
      <c r="F61" s="60">
        <v>0</v>
      </c>
      <c r="G61" s="60">
        <v>0</v>
      </c>
      <c r="H61" s="60">
        <v>0</v>
      </c>
      <c r="I61" s="60">
        <v>1062</v>
      </c>
      <c r="J61" s="60">
        <v>49</v>
      </c>
      <c r="K61" s="60">
        <v>7</v>
      </c>
      <c r="L61" s="60">
        <f t="shared" si="6"/>
        <v>1013</v>
      </c>
      <c r="M61" s="84">
        <v>45000</v>
      </c>
      <c r="N61" s="83" t="str">
        <f>VLOOKUP(B61,Hoja1!$B$1:$C$25,2,0)</f>
        <v>EDGAR JAVIER CASTAÑEDA GIL</v>
      </c>
      <c r="O61" s="1" t="e">
        <f t="shared" si="0"/>
        <v>#REF!</v>
      </c>
    </row>
    <row r="62" spans="1:15" ht="15.75" hidden="1" customHeight="1" x14ac:dyDescent="0.25">
      <c r="A62" s="83">
        <v>99</v>
      </c>
      <c r="B62" s="83" t="s">
        <v>368</v>
      </c>
      <c r="C62" s="60" t="s">
        <v>82</v>
      </c>
      <c r="D62" s="60">
        <v>26</v>
      </c>
      <c r="E62" s="60">
        <v>38</v>
      </c>
      <c r="F62" s="60">
        <v>64</v>
      </c>
      <c r="G62" s="60">
        <v>0</v>
      </c>
      <c r="H62" s="60">
        <v>0</v>
      </c>
      <c r="I62" s="60">
        <v>128</v>
      </c>
      <c r="J62" s="60">
        <v>166</v>
      </c>
      <c r="K62" s="60">
        <v>1</v>
      </c>
      <c r="L62" s="60" t="s">
        <v>18</v>
      </c>
      <c r="M62" s="60"/>
      <c r="N62" s="83" t="str">
        <f>VLOOKUP(B62,Hoja1!$B$1:$C$25,2,0)</f>
        <v>LUISA FERNANDA MEJIA CORREA</v>
      </c>
      <c r="O62" s="1" t="e">
        <f t="shared" si="0"/>
        <v>#REF!</v>
      </c>
    </row>
    <row r="63" spans="1:15" ht="15.75" hidden="1" customHeight="1" x14ac:dyDescent="0.25">
      <c r="A63" s="83">
        <v>100</v>
      </c>
      <c r="B63" s="83" t="s">
        <v>368</v>
      </c>
      <c r="C63" s="60" t="s">
        <v>82</v>
      </c>
      <c r="D63" s="60">
        <v>489</v>
      </c>
      <c r="E63" s="60">
        <v>221</v>
      </c>
      <c r="F63" s="60">
        <v>500</v>
      </c>
      <c r="G63" s="60">
        <v>210</v>
      </c>
      <c r="H63" s="60">
        <v>0</v>
      </c>
      <c r="I63" s="60">
        <v>1420</v>
      </c>
      <c r="J63" s="60">
        <v>763</v>
      </c>
      <c r="K63" s="60">
        <v>4</v>
      </c>
      <c r="L63" s="60" t="s">
        <v>18</v>
      </c>
      <c r="M63" s="60"/>
      <c r="N63" s="83" t="str">
        <f>VLOOKUP(B63,Hoja1!$B$1:$C$25,2,0)</f>
        <v>LUISA FERNANDA MEJIA CORREA</v>
      </c>
      <c r="O63" s="1" t="e">
        <f t="shared" si="0"/>
        <v>#REF!</v>
      </c>
    </row>
    <row r="64" spans="1:15" ht="15.75" hidden="1" customHeight="1" x14ac:dyDescent="0.25">
      <c r="A64" s="83">
        <v>101</v>
      </c>
      <c r="B64" s="83" t="s">
        <v>368</v>
      </c>
      <c r="C64" s="60" t="s">
        <v>82</v>
      </c>
      <c r="D64" s="60">
        <v>273</v>
      </c>
      <c r="E64" s="60">
        <v>409</v>
      </c>
      <c r="F64" s="60">
        <v>580</v>
      </c>
      <c r="G64" s="60">
        <v>0</v>
      </c>
      <c r="H64" s="60">
        <v>102</v>
      </c>
      <c r="I64" s="60">
        <v>1364</v>
      </c>
      <c r="J64" s="60">
        <v>480</v>
      </c>
      <c r="K64" s="60">
        <v>2</v>
      </c>
      <c r="L64" s="60" t="s">
        <v>18</v>
      </c>
      <c r="M64" s="60"/>
      <c r="N64" s="83" t="str">
        <f>VLOOKUP(B64,Hoja1!$B$1:$C$25,2,0)</f>
        <v>LUISA FERNANDA MEJIA CORREA</v>
      </c>
      <c r="O64" s="1" t="e">
        <f t="shared" si="0"/>
        <v>#REF!</v>
      </c>
    </row>
    <row r="65" spans="1:15" ht="15.75" hidden="1" customHeight="1" x14ac:dyDescent="0.25">
      <c r="A65" s="83">
        <v>102</v>
      </c>
      <c r="B65" s="83" t="s">
        <v>368</v>
      </c>
      <c r="C65" s="60" t="s">
        <v>82</v>
      </c>
      <c r="D65" s="60">
        <v>233</v>
      </c>
      <c r="E65" s="60">
        <v>133</v>
      </c>
      <c r="F65" s="60">
        <v>0</v>
      </c>
      <c r="G65" s="60">
        <v>0</v>
      </c>
      <c r="H65" s="60">
        <v>0</v>
      </c>
      <c r="I65" s="60">
        <v>366</v>
      </c>
      <c r="J65" s="60">
        <v>321</v>
      </c>
      <c r="K65" s="60">
        <v>2</v>
      </c>
      <c r="L65" s="60" t="s">
        <v>18</v>
      </c>
      <c r="M65" s="60"/>
      <c r="N65" s="83" t="str">
        <f>VLOOKUP(B65,Hoja1!$B$1:$C$25,2,0)</f>
        <v>LUISA FERNANDA MEJIA CORREA</v>
      </c>
      <c r="O65" s="1" t="e">
        <f t="shared" si="0"/>
        <v>#REF!</v>
      </c>
    </row>
    <row r="66" spans="1:15" ht="15.75" hidden="1" customHeight="1" x14ac:dyDescent="0.25">
      <c r="A66" s="83">
        <v>103</v>
      </c>
      <c r="B66" s="83" t="s">
        <v>368</v>
      </c>
      <c r="C66" s="60" t="s">
        <v>82</v>
      </c>
      <c r="D66" s="60">
        <v>306</v>
      </c>
      <c r="E66" s="60">
        <v>185</v>
      </c>
      <c r="F66" s="60">
        <v>0</v>
      </c>
      <c r="G66" s="60">
        <v>0</v>
      </c>
      <c r="H66" s="60">
        <v>0</v>
      </c>
      <c r="I66" s="60">
        <v>491</v>
      </c>
      <c r="J66" s="60">
        <v>482</v>
      </c>
      <c r="K66" s="60">
        <v>2</v>
      </c>
      <c r="L66" s="60" t="s">
        <v>18</v>
      </c>
      <c r="M66" s="60"/>
      <c r="N66" s="83" t="str">
        <f>VLOOKUP(B66,Hoja1!$B$1:$C$25,2,0)</f>
        <v>LUISA FERNANDA MEJIA CORREA</v>
      </c>
      <c r="O66" s="1" t="e">
        <f t="shared" si="0"/>
        <v>#REF!</v>
      </c>
    </row>
    <row r="67" spans="1:15" ht="15.75" hidden="1" customHeight="1" x14ac:dyDescent="0.25">
      <c r="A67" s="83">
        <v>104</v>
      </c>
      <c r="B67" s="83" t="s">
        <v>368</v>
      </c>
      <c r="C67" s="60" t="s">
        <v>82</v>
      </c>
      <c r="D67" s="60">
        <v>234</v>
      </c>
      <c r="E67" s="60">
        <v>264</v>
      </c>
      <c r="F67" s="60">
        <v>0</v>
      </c>
      <c r="G67" s="60">
        <v>0</v>
      </c>
      <c r="H67" s="60">
        <v>0</v>
      </c>
      <c r="I67" s="60">
        <v>498</v>
      </c>
      <c r="J67" s="60">
        <v>0</v>
      </c>
      <c r="K67" s="60">
        <v>3</v>
      </c>
      <c r="L67" s="60">
        <f>I67-J67</f>
        <v>498</v>
      </c>
      <c r="M67" s="60"/>
      <c r="N67" s="83" t="str">
        <f>VLOOKUP(B67,Hoja1!$B$1:$C$25,2,0)</f>
        <v>LUISA FERNANDA MEJIA CORREA</v>
      </c>
      <c r="O67" s="1" t="e">
        <f t="shared" si="0"/>
        <v>#REF!</v>
      </c>
    </row>
    <row r="68" spans="1:15" ht="15.75" hidden="1" customHeight="1" x14ac:dyDescent="0.25">
      <c r="A68" s="83">
        <v>105</v>
      </c>
      <c r="B68" s="83" t="s">
        <v>368</v>
      </c>
      <c r="C68" s="60" t="s">
        <v>82</v>
      </c>
      <c r="D68" s="60">
        <v>174</v>
      </c>
      <c r="E68" s="60">
        <v>89</v>
      </c>
      <c r="F68" s="60">
        <v>0</v>
      </c>
      <c r="G68" s="60">
        <v>0</v>
      </c>
      <c r="H68" s="60">
        <v>0</v>
      </c>
      <c r="I68" s="60">
        <v>263</v>
      </c>
      <c r="J68" s="60">
        <v>300</v>
      </c>
      <c r="K68" s="60">
        <v>2</v>
      </c>
      <c r="L68" s="60" t="s">
        <v>18</v>
      </c>
      <c r="M68" s="60"/>
      <c r="N68" s="83" t="str">
        <f>VLOOKUP(B68,Hoja1!$B$1:$C$25,2,0)</f>
        <v>LUISA FERNANDA MEJIA CORREA</v>
      </c>
      <c r="O68" s="1" t="e">
        <f t="shared" si="0"/>
        <v>#REF!</v>
      </c>
    </row>
    <row r="69" spans="1:15" ht="15.75" hidden="1" customHeight="1" x14ac:dyDescent="0.25">
      <c r="A69" s="83">
        <v>185</v>
      </c>
      <c r="B69" s="83" t="s">
        <v>368</v>
      </c>
      <c r="C69" s="60" t="s">
        <v>45</v>
      </c>
      <c r="D69" s="60">
        <v>19</v>
      </c>
      <c r="E69" s="60">
        <v>35</v>
      </c>
      <c r="F69" s="60">
        <v>54</v>
      </c>
      <c r="G69" s="60">
        <v>0</v>
      </c>
      <c r="H69" s="60">
        <v>0</v>
      </c>
      <c r="I69" s="60">
        <v>108</v>
      </c>
      <c r="J69" s="60">
        <v>29</v>
      </c>
      <c r="K69" s="60">
        <v>0</v>
      </c>
      <c r="L69" s="60" t="s">
        <v>18</v>
      </c>
      <c r="M69" s="60"/>
      <c r="N69" s="83" t="str">
        <f>VLOOKUP(B69,Hoja1!$B$1:$C$25,2,0)</f>
        <v>LUISA FERNANDA MEJIA CORREA</v>
      </c>
      <c r="O69" s="1" t="e">
        <f t="shared" si="0"/>
        <v>#REF!</v>
      </c>
    </row>
    <row r="70" spans="1:15" ht="15.75" hidden="1" customHeight="1" x14ac:dyDescent="0.25">
      <c r="A70" s="83">
        <v>204</v>
      </c>
      <c r="B70" s="83" t="s">
        <v>368</v>
      </c>
      <c r="C70" s="60" t="s">
        <v>45</v>
      </c>
      <c r="D70" s="60">
        <v>61</v>
      </c>
      <c r="E70" s="60">
        <v>29</v>
      </c>
      <c r="F70" s="60">
        <v>90</v>
      </c>
      <c r="G70" s="60">
        <v>0</v>
      </c>
      <c r="H70" s="60">
        <v>0</v>
      </c>
      <c r="I70" s="60">
        <v>180</v>
      </c>
      <c r="J70" s="60">
        <v>97</v>
      </c>
      <c r="K70" s="60">
        <v>0</v>
      </c>
      <c r="L70" s="60" t="s">
        <v>18</v>
      </c>
      <c r="M70" s="60"/>
      <c r="N70" s="83" t="str">
        <f>VLOOKUP(B70,Hoja1!$B$1:$C$25,2,0)</f>
        <v>LUISA FERNANDA MEJIA CORREA</v>
      </c>
      <c r="O70" s="1" t="e">
        <f t="shared" si="0"/>
        <v>#REF!</v>
      </c>
    </row>
    <row r="71" spans="1:15" ht="15.75" hidden="1" customHeight="1" x14ac:dyDescent="0.25">
      <c r="A71" s="83" t="s">
        <v>369</v>
      </c>
      <c r="B71" s="83" t="s">
        <v>368</v>
      </c>
      <c r="C71" s="60" t="s">
        <v>82</v>
      </c>
      <c r="D71" s="60">
        <v>350</v>
      </c>
      <c r="E71" s="60">
        <v>112</v>
      </c>
      <c r="F71" s="60">
        <v>0</v>
      </c>
      <c r="G71" s="60">
        <v>0</v>
      </c>
      <c r="H71" s="60">
        <v>0</v>
      </c>
      <c r="I71" s="60">
        <v>462</v>
      </c>
      <c r="J71" s="60">
        <v>374</v>
      </c>
      <c r="K71" s="60">
        <v>3</v>
      </c>
      <c r="L71" s="60" t="s">
        <v>18</v>
      </c>
      <c r="M71" s="60"/>
      <c r="N71" s="83" t="str">
        <f>VLOOKUP(B71,Hoja1!$B$1:$C$25,2,0)</f>
        <v>LUISA FERNANDA MEJIA CORREA</v>
      </c>
      <c r="O71" s="1" t="e">
        <f t="shared" si="0"/>
        <v>#REF!</v>
      </c>
    </row>
    <row r="72" spans="1:15" ht="15.75" hidden="1" customHeight="1" x14ac:dyDescent="0.25">
      <c r="A72" s="83">
        <v>344</v>
      </c>
      <c r="B72" s="83" t="s">
        <v>368</v>
      </c>
      <c r="C72" s="60"/>
      <c r="D72" s="60"/>
      <c r="E72" s="60"/>
      <c r="F72" s="60"/>
      <c r="G72" s="60"/>
      <c r="H72" s="60"/>
      <c r="I72" s="60"/>
      <c r="J72" s="60">
        <v>0</v>
      </c>
      <c r="K72" s="60"/>
      <c r="L72" s="60"/>
      <c r="M72" s="60"/>
      <c r="N72" s="83" t="str">
        <f>VLOOKUP(B72,Hoja1!$B$1:$C$25,2,0)</f>
        <v>LUISA FERNANDA MEJIA CORREA</v>
      </c>
      <c r="O72" s="1" t="e">
        <f t="shared" si="0"/>
        <v>#REF!</v>
      </c>
    </row>
    <row r="73" spans="1:15" ht="15.75" hidden="1" customHeight="1" x14ac:dyDescent="0.25">
      <c r="A73" s="83">
        <v>115</v>
      </c>
      <c r="B73" s="83" t="s">
        <v>374</v>
      </c>
      <c r="C73" s="60" t="s">
        <v>82</v>
      </c>
      <c r="D73" s="60">
        <v>332</v>
      </c>
      <c r="E73" s="60">
        <v>123</v>
      </c>
      <c r="F73" s="60">
        <v>0</v>
      </c>
      <c r="G73" s="60">
        <v>0</v>
      </c>
      <c r="H73" s="60">
        <v>0</v>
      </c>
      <c r="I73" s="60">
        <v>455</v>
      </c>
      <c r="J73" s="60">
        <v>0</v>
      </c>
      <c r="K73" s="60">
        <v>3</v>
      </c>
      <c r="L73" s="60">
        <f t="shared" ref="L73:L74" si="7">I73-J73</f>
        <v>455</v>
      </c>
      <c r="M73" s="85">
        <v>45000</v>
      </c>
      <c r="N73" s="86" t="str">
        <f>VLOOKUP(B73,Hoja1!$B$1:$C$25,2,0)</f>
        <v>LEONARDO PINZON URIBE</v>
      </c>
      <c r="O73" s="1" t="e">
        <f t="shared" si="0"/>
        <v>#REF!</v>
      </c>
    </row>
    <row r="74" spans="1:15" ht="15.75" hidden="1" customHeight="1" x14ac:dyDescent="0.25">
      <c r="A74" s="83">
        <v>117</v>
      </c>
      <c r="B74" s="83" t="s">
        <v>374</v>
      </c>
      <c r="C74" s="60" t="s">
        <v>82</v>
      </c>
      <c r="D74" s="60">
        <v>129</v>
      </c>
      <c r="E74" s="60">
        <v>127</v>
      </c>
      <c r="F74" s="60">
        <v>0</v>
      </c>
      <c r="G74" s="60">
        <v>0</v>
      </c>
      <c r="H74" s="60">
        <v>0</v>
      </c>
      <c r="I74" s="60">
        <v>256</v>
      </c>
      <c r="J74" s="60">
        <v>0</v>
      </c>
      <c r="K74" s="60">
        <v>2</v>
      </c>
      <c r="L74" s="60">
        <f t="shared" si="7"/>
        <v>256</v>
      </c>
      <c r="M74" s="85">
        <v>45000</v>
      </c>
      <c r="N74" s="86" t="str">
        <f>VLOOKUP(B74,Hoja1!$B$1:$C$25,2,0)</f>
        <v>LEONARDO PINZON URIBE</v>
      </c>
      <c r="O74" s="1" t="e">
        <f t="shared" si="0"/>
        <v>#REF!</v>
      </c>
    </row>
    <row r="75" spans="1:15" ht="15.75" hidden="1" customHeight="1" x14ac:dyDescent="0.25">
      <c r="A75" s="83">
        <v>118</v>
      </c>
      <c r="B75" s="83" t="s">
        <v>374</v>
      </c>
      <c r="C75" s="60" t="s">
        <v>82</v>
      </c>
      <c r="D75" s="60">
        <v>38</v>
      </c>
      <c r="E75" s="60">
        <v>74</v>
      </c>
      <c r="F75" s="60">
        <v>0</v>
      </c>
      <c r="G75" s="60">
        <v>0</v>
      </c>
      <c r="H75" s="60">
        <v>0</v>
      </c>
      <c r="I75" s="60">
        <v>112</v>
      </c>
      <c r="J75" s="60">
        <v>150</v>
      </c>
      <c r="K75" s="60">
        <v>1</v>
      </c>
      <c r="L75" s="60" t="s">
        <v>18</v>
      </c>
      <c r="M75" s="87"/>
      <c r="N75" s="83" t="str">
        <f>VLOOKUP(B75,Hoja1!$B$1:$C$25,2,0)</f>
        <v>LEONARDO PINZON URIBE</v>
      </c>
      <c r="O75" s="1" t="e">
        <f t="shared" si="0"/>
        <v>#REF!</v>
      </c>
    </row>
    <row r="76" spans="1:15" ht="15.75" hidden="1" customHeight="1" x14ac:dyDescent="0.25">
      <c r="A76" s="83">
        <v>167</v>
      </c>
      <c r="B76" s="83" t="s">
        <v>374</v>
      </c>
      <c r="C76" s="60" t="s">
        <v>82</v>
      </c>
      <c r="D76" s="60">
        <v>60</v>
      </c>
      <c r="E76" s="60">
        <v>21</v>
      </c>
      <c r="F76" s="60">
        <v>0</v>
      </c>
      <c r="G76" s="60">
        <v>0</v>
      </c>
      <c r="H76" s="60">
        <v>0</v>
      </c>
      <c r="I76" s="60">
        <v>81</v>
      </c>
      <c r="J76" s="60">
        <v>0</v>
      </c>
      <c r="K76" s="60">
        <v>2</v>
      </c>
      <c r="L76" s="60">
        <f t="shared" ref="L76:L82" si="8">I76-J76</f>
        <v>81</v>
      </c>
      <c r="M76" s="85">
        <v>44985</v>
      </c>
      <c r="N76" s="86" t="str">
        <f>VLOOKUP(B76,Hoja1!$B$1:$C$25,2,0)</f>
        <v>LEONARDO PINZON URIBE</v>
      </c>
      <c r="O76" s="1" t="e">
        <f t="shared" si="0"/>
        <v>#REF!</v>
      </c>
    </row>
    <row r="77" spans="1:15" ht="15.75" hidden="1" customHeight="1" x14ac:dyDescent="0.25">
      <c r="A77" s="83">
        <v>168</v>
      </c>
      <c r="B77" s="83" t="s">
        <v>374</v>
      </c>
      <c r="C77" s="60" t="s">
        <v>82</v>
      </c>
      <c r="D77" s="60">
        <v>30</v>
      </c>
      <c r="E77" s="60">
        <v>45</v>
      </c>
      <c r="F77" s="60">
        <v>0</v>
      </c>
      <c r="G77" s="60">
        <v>0</v>
      </c>
      <c r="H77" s="60">
        <v>0</v>
      </c>
      <c r="I77" s="60">
        <v>75</v>
      </c>
      <c r="J77" s="60">
        <v>0</v>
      </c>
      <c r="K77" s="60">
        <v>1</v>
      </c>
      <c r="L77" s="60">
        <f t="shared" si="8"/>
        <v>75</v>
      </c>
      <c r="M77" s="85">
        <v>44985</v>
      </c>
      <c r="N77" s="86" t="str">
        <f>VLOOKUP(B77,Hoja1!$B$1:$C$25,2,0)</f>
        <v>LEONARDO PINZON URIBE</v>
      </c>
      <c r="O77" s="1" t="e">
        <f t="shared" si="0"/>
        <v>#REF!</v>
      </c>
    </row>
    <row r="78" spans="1:15" ht="15.75" hidden="1" customHeight="1" x14ac:dyDescent="0.25">
      <c r="A78" s="83">
        <v>169</v>
      </c>
      <c r="B78" s="83" t="s">
        <v>374</v>
      </c>
      <c r="C78" s="60" t="s">
        <v>82</v>
      </c>
      <c r="D78" s="60">
        <v>66</v>
      </c>
      <c r="E78" s="60">
        <v>22</v>
      </c>
      <c r="F78" s="60">
        <v>0</v>
      </c>
      <c r="G78" s="60">
        <v>0</v>
      </c>
      <c r="H78" s="60">
        <v>0</v>
      </c>
      <c r="I78" s="60">
        <v>88</v>
      </c>
      <c r="J78" s="60">
        <v>0</v>
      </c>
      <c r="K78" s="60">
        <v>1</v>
      </c>
      <c r="L78" s="60">
        <f t="shared" si="8"/>
        <v>88</v>
      </c>
      <c r="M78" s="85">
        <v>44985</v>
      </c>
      <c r="N78" s="86" t="str">
        <f>VLOOKUP(B78,Hoja1!$B$1:$C$25,2,0)</f>
        <v>LEONARDO PINZON URIBE</v>
      </c>
      <c r="O78" s="1" t="e">
        <f t="shared" si="0"/>
        <v>#REF!</v>
      </c>
    </row>
    <row r="79" spans="1:15" ht="15.75" hidden="1" customHeight="1" x14ac:dyDescent="0.25">
      <c r="A79" s="83">
        <v>170</v>
      </c>
      <c r="B79" s="83" t="s">
        <v>374</v>
      </c>
      <c r="C79" s="60" t="s">
        <v>82</v>
      </c>
      <c r="D79" s="60">
        <v>239</v>
      </c>
      <c r="E79" s="60">
        <v>191</v>
      </c>
      <c r="F79" s="60">
        <v>0</v>
      </c>
      <c r="G79" s="60">
        <v>0</v>
      </c>
      <c r="H79" s="60">
        <v>0</v>
      </c>
      <c r="I79" s="60">
        <v>430</v>
      </c>
      <c r="J79" s="60">
        <v>0</v>
      </c>
      <c r="K79" s="60">
        <v>3</v>
      </c>
      <c r="L79" s="60">
        <f t="shared" si="8"/>
        <v>430</v>
      </c>
      <c r="M79" s="60"/>
      <c r="N79" s="86" t="str">
        <f>VLOOKUP(B79,Hoja1!$B$1:$C$25,2,0)</f>
        <v>LEONARDO PINZON URIBE</v>
      </c>
      <c r="O79" s="1" t="e">
        <f t="shared" si="0"/>
        <v>#REF!</v>
      </c>
    </row>
    <row r="80" spans="1:15" ht="15.75" hidden="1" customHeight="1" x14ac:dyDescent="0.25">
      <c r="A80" s="83">
        <v>179</v>
      </c>
      <c r="B80" s="83" t="s">
        <v>374</v>
      </c>
      <c r="C80" s="60" t="s">
        <v>82</v>
      </c>
      <c r="D80" s="60">
        <v>2</v>
      </c>
      <c r="E80" s="60">
        <v>2</v>
      </c>
      <c r="F80" s="60">
        <v>0</v>
      </c>
      <c r="G80" s="60">
        <v>0</v>
      </c>
      <c r="H80" s="60">
        <v>0</v>
      </c>
      <c r="I80" s="60">
        <v>4</v>
      </c>
      <c r="J80" s="60">
        <v>0</v>
      </c>
      <c r="K80" s="60">
        <v>2</v>
      </c>
      <c r="L80" s="60">
        <f t="shared" si="8"/>
        <v>4</v>
      </c>
      <c r="M80" s="60"/>
      <c r="N80" s="86" t="str">
        <f>VLOOKUP(B80,Hoja1!$B$1:$C$25,2,0)</f>
        <v>LEONARDO PINZON URIBE</v>
      </c>
      <c r="O80" s="1" t="e">
        <f t="shared" si="0"/>
        <v>#REF!</v>
      </c>
    </row>
    <row r="81" spans="1:15" ht="15.75" hidden="1" customHeight="1" x14ac:dyDescent="0.25">
      <c r="A81" s="83">
        <v>226</v>
      </c>
      <c r="B81" s="83" t="s">
        <v>374</v>
      </c>
      <c r="C81" s="60" t="s">
        <v>82</v>
      </c>
      <c r="D81" s="60">
        <v>84</v>
      </c>
      <c r="E81" s="60">
        <v>57</v>
      </c>
      <c r="F81" s="60">
        <v>0</v>
      </c>
      <c r="G81" s="60">
        <v>0</v>
      </c>
      <c r="H81" s="60">
        <v>0</v>
      </c>
      <c r="I81" s="60">
        <v>141</v>
      </c>
      <c r="J81" s="60">
        <v>0</v>
      </c>
      <c r="K81" s="60">
        <v>1</v>
      </c>
      <c r="L81" s="60">
        <f t="shared" si="8"/>
        <v>141</v>
      </c>
      <c r="M81" s="85">
        <v>44985</v>
      </c>
      <c r="N81" s="86" t="str">
        <f>VLOOKUP(B81,Hoja1!$B$1:$C$25,2,0)</f>
        <v>LEONARDO PINZON URIBE</v>
      </c>
      <c r="O81" s="1" t="e">
        <f t="shared" si="0"/>
        <v>#REF!</v>
      </c>
    </row>
    <row r="82" spans="1:15" ht="15.75" hidden="1" customHeight="1" x14ac:dyDescent="0.25">
      <c r="A82" s="83">
        <v>239</v>
      </c>
      <c r="B82" s="83" t="s">
        <v>374</v>
      </c>
      <c r="C82" s="60" t="s">
        <v>82</v>
      </c>
      <c r="D82" s="60">
        <v>0</v>
      </c>
      <c r="E82" s="60">
        <v>75</v>
      </c>
      <c r="F82" s="60">
        <v>0</v>
      </c>
      <c r="G82" s="60">
        <v>0</v>
      </c>
      <c r="H82" s="60">
        <v>0</v>
      </c>
      <c r="I82" s="60">
        <v>75</v>
      </c>
      <c r="J82" s="60">
        <v>0</v>
      </c>
      <c r="K82" s="60">
        <v>0</v>
      </c>
      <c r="L82" s="60">
        <f t="shared" si="8"/>
        <v>75</v>
      </c>
      <c r="M82" s="85">
        <v>45016</v>
      </c>
      <c r="N82" s="86" t="str">
        <f>VLOOKUP(B82,Hoja1!$B$1:$C$25,2,0)</f>
        <v>LEONARDO PINZON URIBE</v>
      </c>
      <c r="O82" s="1" t="e">
        <f t="shared" si="0"/>
        <v>#REF!</v>
      </c>
    </row>
    <row r="83" spans="1:15" ht="15.75" hidden="1" customHeight="1" x14ac:dyDescent="0.25">
      <c r="A83" s="83">
        <v>240</v>
      </c>
      <c r="B83" s="83" t="s">
        <v>374</v>
      </c>
      <c r="C83" s="60" t="s">
        <v>82</v>
      </c>
      <c r="D83" s="60">
        <v>18</v>
      </c>
      <c r="E83" s="60">
        <v>0</v>
      </c>
      <c r="F83" s="60">
        <v>0</v>
      </c>
      <c r="G83" s="60">
        <v>0</v>
      </c>
      <c r="H83" s="60">
        <v>0</v>
      </c>
      <c r="I83" s="60">
        <v>18</v>
      </c>
      <c r="J83" s="60">
        <v>0</v>
      </c>
      <c r="K83" s="60">
        <v>1</v>
      </c>
      <c r="L83" s="60">
        <v>0</v>
      </c>
      <c r="M83" s="87"/>
      <c r="N83" s="83" t="str">
        <f>VLOOKUP(B83,Hoja1!$B$1:$C$25,2,0)</f>
        <v>LEONARDO PINZON URIBE</v>
      </c>
      <c r="O83" s="1" t="e">
        <f t="shared" si="0"/>
        <v>#REF!</v>
      </c>
    </row>
    <row r="84" spans="1:15" ht="15.75" hidden="1" customHeight="1" x14ac:dyDescent="0.25">
      <c r="A84" s="83">
        <v>241</v>
      </c>
      <c r="B84" s="83" t="s">
        <v>374</v>
      </c>
      <c r="C84" s="60" t="s">
        <v>45</v>
      </c>
      <c r="D84" s="60">
        <v>15</v>
      </c>
      <c r="E84" s="60">
        <v>0</v>
      </c>
      <c r="F84" s="60">
        <v>0</v>
      </c>
      <c r="G84" s="60">
        <v>0</v>
      </c>
      <c r="H84" s="60">
        <v>0</v>
      </c>
      <c r="I84" s="60">
        <v>15</v>
      </c>
      <c r="J84" s="60">
        <v>0</v>
      </c>
      <c r="K84" s="60">
        <v>0</v>
      </c>
      <c r="L84" s="60">
        <v>0</v>
      </c>
      <c r="M84" s="60"/>
      <c r="N84" s="83" t="str">
        <f>VLOOKUP(B84,Hoja1!$B$1:$C$25,2,0)</f>
        <v>LEONARDO PINZON URIBE</v>
      </c>
      <c r="O84" s="1" t="e">
        <f t="shared" si="0"/>
        <v>#REF!</v>
      </c>
    </row>
    <row r="85" spans="1:15" ht="15.75" hidden="1" customHeight="1" x14ac:dyDescent="0.25">
      <c r="A85" s="83">
        <v>247</v>
      </c>
      <c r="B85" s="83" t="s">
        <v>374</v>
      </c>
      <c r="C85" s="60" t="s">
        <v>45</v>
      </c>
      <c r="D85" s="60" t="e">
        <v>#N/A</v>
      </c>
      <c r="E85" s="60" t="e">
        <v>#N/A</v>
      </c>
      <c r="F85" s="60">
        <v>0</v>
      </c>
      <c r="G85" s="60">
        <v>0</v>
      </c>
      <c r="H85" s="60">
        <v>0</v>
      </c>
      <c r="I85" s="60" t="e">
        <v>#N/A</v>
      </c>
      <c r="J85" s="60">
        <v>0</v>
      </c>
      <c r="K85" s="60">
        <v>1</v>
      </c>
      <c r="L85" s="60" t="s">
        <v>18</v>
      </c>
      <c r="M85" s="60"/>
      <c r="N85" s="86" t="str">
        <f>VLOOKUP(B85,Hoja1!$B$1:$C$25,2,0)</f>
        <v>LEONARDO PINZON URIBE</v>
      </c>
      <c r="O85" s="1" t="e">
        <f t="shared" si="0"/>
        <v>#REF!</v>
      </c>
    </row>
    <row r="86" spans="1:15" ht="15.75" hidden="1" customHeight="1" x14ac:dyDescent="0.25">
      <c r="A86" s="83">
        <v>286</v>
      </c>
      <c r="B86" s="83" t="s">
        <v>374</v>
      </c>
      <c r="C86" s="60" t="s">
        <v>45</v>
      </c>
      <c r="D86" s="60" t="e">
        <v>#N/A</v>
      </c>
      <c r="E86" s="60" t="e">
        <v>#N/A</v>
      </c>
      <c r="F86" s="60">
        <v>0</v>
      </c>
      <c r="G86" s="60">
        <v>0</v>
      </c>
      <c r="H86" s="60">
        <v>0</v>
      </c>
      <c r="I86" s="60" t="e">
        <v>#N/A</v>
      </c>
      <c r="J86" s="60">
        <v>0</v>
      </c>
      <c r="K86" s="60">
        <v>0</v>
      </c>
      <c r="L86" s="60" t="s">
        <v>18</v>
      </c>
      <c r="M86" s="60"/>
      <c r="N86" s="86" t="str">
        <f>VLOOKUP(B86,Hoja1!$B$1:$C$25,2,0)</f>
        <v>LEONARDO PINZON URIBE</v>
      </c>
      <c r="O86" s="1" t="e">
        <f t="shared" si="0"/>
        <v>#REF!</v>
      </c>
    </row>
    <row r="87" spans="1:15" ht="15.75" hidden="1" customHeight="1" x14ac:dyDescent="0.25">
      <c r="A87" s="83">
        <v>292</v>
      </c>
      <c r="B87" s="83" t="s">
        <v>374</v>
      </c>
      <c r="C87" s="60" t="s">
        <v>82</v>
      </c>
      <c r="D87" s="60">
        <v>50</v>
      </c>
      <c r="E87" s="60">
        <v>39</v>
      </c>
      <c r="F87" s="60">
        <v>0</v>
      </c>
      <c r="G87" s="60">
        <v>0</v>
      </c>
      <c r="H87" s="60">
        <v>0</v>
      </c>
      <c r="I87" s="60">
        <v>89</v>
      </c>
      <c r="J87" s="60">
        <v>0</v>
      </c>
      <c r="K87" s="60">
        <v>1</v>
      </c>
      <c r="L87" s="60">
        <f>I87-J87</f>
        <v>89</v>
      </c>
      <c r="M87" s="85">
        <v>44985</v>
      </c>
      <c r="N87" s="86" t="str">
        <f>VLOOKUP(B87,Hoja1!$B$1:$C$25,2,0)</f>
        <v>LEONARDO PINZON URIBE</v>
      </c>
      <c r="O87" s="1" t="e">
        <f t="shared" si="0"/>
        <v>#REF!</v>
      </c>
    </row>
    <row r="88" spans="1:15" ht="15.75" hidden="1" customHeight="1" x14ac:dyDescent="0.25">
      <c r="A88" s="83">
        <v>306</v>
      </c>
      <c r="B88" s="83" t="s">
        <v>374</v>
      </c>
      <c r="C88" s="60" t="s">
        <v>45</v>
      </c>
      <c r="D88" s="60" t="e">
        <v>#N/A</v>
      </c>
      <c r="E88" s="60" t="e">
        <v>#N/A</v>
      </c>
      <c r="F88" s="60">
        <v>0</v>
      </c>
      <c r="G88" s="60">
        <v>0</v>
      </c>
      <c r="H88" s="60">
        <v>0</v>
      </c>
      <c r="I88" s="60" t="e">
        <v>#N/A</v>
      </c>
      <c r="J88" s="60">
        <v>0</v>
      </c>
      <c r="K88" s="60">
        <v>0</v>
      </c>
      <c r="L88" s="60">
        <v>0</v>
      </c>
      <c r="M88" s="87"/>
      <c r="N88" s="83" t="str">
        <f>VLOOKUP(B88,Hoja1!$B$1:$C$25,2,0)</f>
        <v>LEONARDO PINZON URIBE</v>
      </c>
      <c r="O88" s="1" t="e">
        <f t="shared" si="0"/>
        <v>#REF!</v>
      </c>
    </row>
    <row r="89" spans="1:15" ht="15.75" hidden="1" customHeight="1" x14ac:dyDescent="0.25">
      <c r="A89" s="83">
        <v>313</v>
      </c>
      <c r="B89" s="83" t="s">
        <v>374</v>
      </c>
      <c r="C89" s="60" t="s">
        <v>45</v>
      </c>
      <c r="D89" s="60">
        <v>26</v>
      </c>
      <c r="E89" s="60">
        <v>0</v>
      </c>
      <c r="F89" s="60">
        <v>0</v>
      </c>
      <c r="G89" s="60">
        <v>0</v>
      </c>
      <c r="H89" s="60">
        <v>0</v>
      </c>
      <c r="I89" s="60">
        <v>26</v>
      </c>
      <c r="J89" s="60">
        <v>0</v>
      </c>
      <c r="K89" s="60">
        <v>0</v>
      </c>
      <c r="L89" s="60">
        <v>0</v>
      </c>
      <c r="M89" s="60"/>
      <c r="N89" s="83" t="str">
        <f>VLOOKUP(B89,Hoja1!$B$1:$C$25,2,0)</f>
        <v>LEONARDO PINZON URIBE</v>
      </c>
      <c r="O89" s="1" t="e">
        <f t="shared" si="0"/>
        <v>#REF!</v>
      </c>
    </row>
    <row r="90" spans="1:15" ht="15.75" hidden="1" customHeight="1" x14ac:dyDescent="0.25">
      <c r="A90" s="83" t="s">
        <v>375</v>
      </c>
      <c r="B90" s="83" t="s">
        <v>374</v>
      </c>
      <c r="C90" s="60" t="s">
        <v>82</v>
      </c>
      <c r="D90" s="60">
        <v>100</v>
      </c>
      <c r="E90" s="60">
        <v>99</v>
      </c>
      <c r="F90" s="60">
        <v>0</v>
      </c>
      <c r="G90" s="60">
        <v>0</v>
      </c>
      <c r="H90" s="60">
        <v>19</v>
      </c>
      <c r="I90" s="60">
        <v>218</v>
      </c>
      <c r="J90" s="60">
        <v>0</v>
      </c>
      <c r="K90" s="60">
        <v>3</v>
      </c>
      <c r="L90" s="60">
        <f t="shared" ref="L90:L93" si="9">I90-J90</f>
        <v>218</v>
      </c>
      <c r="M90" s="85">
        <v>44985</v>
      </c>
      <c r="N90" s="86" t="str">
        <f>VLOOKUP(B90,Hoja1!$B$1:$C$25,2,0)</f>
        <v>LEONARDO PINZON URIBE</v>
      </c>
      <c r="O90" s="1" t="e">
        <f t="shared" si="0"/>
        <v>#REF!</v>
      </c>
    </row>
    <row r="91" spans="1:15" ht="15.75" hidden="1" customHeight="1" x14ac:dyDescent="0.25">
      <c r="A91" s="83" t="s">
        <v>376</v>
      </c>
      <c r="B91" s="83" t="s">
        <v>374</v>
      </c>
      <c r="C91" s="60" t="s">
        <v>82</v>
      </c>
      <c r="D91" s="60">
        <v>224</v>
      </c>
      <c r="E91" s="60">
        <v>204</v>
      </c>
      <c r="F91" s="60">
        <v>0</v>
      </c>
      <c r="G91" s="60">
        <v>0</v>
      </c>
      <c r="H91" s="60">
        <v>308</v>
      </c>
      <c r="I91" s="60">
        <v>736</v>
      </c>
      <c r="J91" s="60">
        <v>0</v>
      </c>
      <c r="K91" s="60">
        <v>2</v>
      </c>
      <c r="L91" s="60">
        <f t="shared" si="9"/>
        <v>736</v>
      </c>
      <c r="M91" s="85">
        <v>45000</v>
      </c>
      <c r="N91" s="86" t="str">
        <f>VLOOKUP(B91,Hoja1!$B$1:$C$25,2,0)</f>
        <v>LEONARDO PINZON URIBE</v>
      </c>
      <c r="O91" s="1" t="e">
        <f t="shared" si="0"/>
        <v>#REF!</v>
      </c>
    </row>
    <row r="92" spans="1:15" ht="15.75" hidden="1" customHeight="1" x14ac:dyDescent="0.25">
      <c r="A92" s="83" t="s">
        <v>377</v>
      </c>
      <c r="B92" s="83" t="s">
        <v>374</v>
      </c>
      <c r="C92" s="60" t="s">
        <v>82</v>
      </c>
      <c r="D92" s="60">
        <v>55</v>
      </c>
      <c r="E92" s="60">
        <v>46</v>
      </c>
      <c r="F92" s="60">
        <v>0</v>
      </c>
      <c r="G92" s="60">
        <v>0</v>
      </c>
      <c r="H92" s="60">
        <v>2</v>
      </c>
      <c r="I92" s="60">
        <v>103</v>
      </c>
      <c r="J92" s="60">
        <v>0</v>
      </c>
      <c r="K92" s="60">
        <v>3</v>
      </c>
      <c r="L92" s="60">
        <f t="shared" si="9"/>
        <v>103</v>
      </c>
      <c r="M92" s="85">
        <v>44985</v>
      </c>
      <c r="N92" s="86" t="str">
        <f>VLOOKUP(B92,Hoja1!$B$1:$C$25,2,0)</f>
        <v>LEONARDO PINZON URIBE</v>
      </c>
      <c r="O92" s="1" t="e">
        <f t="shared" si="0"/>
        <v>#REF!</v>
      </c>
    </row>
    <row r="93" spans="1:15" ht="15.75" hidden="1" customHeight="1" x14ac:dyDescent="0.25">
      <c r="A93" s="83" t="s">
        <v>378</v>
      </c>
      <c r="B93" s="83" t="s">
        <v>374</v>
      </c>
      <c r="C93" s="60" t="s">
        <v>82</v>
      </c>
      <c r="D93" s="60">
        <v>67</v>
      </c>
      <c r="E93" s="60">
        <v>136</v>
      </c>
      <c r="F93" s="60">
        <v>0</v>
      </c>
      <c r="G93" s="60">
        <v>0</v>
      </c>
      <c r="H93" s="60">
        <v>0</v>
      </c>
      <c r="I93" s="60">
        <v>203</v>
      </c>
      <c r="J93" s="60">
        <v>0</v>
      </c>
      <c r="K93" s="60">
        <v>2</v>
      </c>
      <c r="L93" s="60">
        <f t="shared" si="9"/>
        <v>203</v>
      </c>
      <c r="M93" s="85">
        <v>44985</v>
      </c>
      <c r="N93" s="86" t="str">
        <f>VLOOKUP(B93,Hoja1!$B$1:$C$25,2,0)</f>
        <v>LEONARDO PINZON URIBE</v>
      </c>
      <c r="O93" s="1" t="e">
        <f t="shared" si="0"/>
        <v>#REF!</v>
      </c>
    </row>
    <row r="94" spans="1:15" ht="15.75" hidden="1" customHeight="1" x14ac:dyDescent="0.25">
      <c r="A94" s="83">
        <v>337</v>
      </c>
      <c r="B94" s="83" t="s">
        <v>374</v>
      </c>
      <c r="C94" s="60"/>
      <c r="D94" s="60"/>
      <c r="E94" s="60"/>
      <c r="F94" s="60"/>
      <c r="G94" s="60"/>
      <c r="H94" s="60"/>
      <c r="I94" s="60"/>
      <c r="J94" s="60">
        <v>0</v>
      </c>
      <c r="K94" s="60"/>
      <c r="L94" s="60"/>
      <c r="M94" s="87"/>
      <c r="N94" s="83" t="str">
        <f>VLOOKUP(B94,Hoja1!$B$1:$C$25,2,0)</f>
        <v>LEONARDO PINZON URIBE</v>
      </c>
      <c r="O94" s="1" t="e">
        <f t="shared" si="0"/>
        <v>#REF!</v>
      </c>
    </row>
    <row r="95" spans="1:15" ht="15.75" hidden="1" customHeight="1" x14ac:dyDescent="0.25">
      <c r="A95" s="83">
        <v>338</v>
      </c>
      <c r="B95" s="83" t="s">
        <v>374</v>
      </c>
      <c r="C95" s="60"/>
      <c r="D95" s="60"/>
      <c r="E95" s="60"/>
      <c r="F95" s="60"/>
      <c r="G95" s="60"/>
      <c r="H95" s="60"/>
      <c r="I95" s="60"/>
      <c r="J95" s="60">
        <v>0</v>
      </c>
      <c r="K95" s="60"/>
      <c r="L95" s="60"/>
      <c r="M95" s="60"/>
      <c r="N95" s="83" t="str">
        <f>VLOOKUP(B95,Hoja1!$B$1:$C$25,2,0)</f>
        <v>LEONARDO PINZON URIBE</v>
      </c>
      <c r="O95" s="1" t="e">
        <f t="shared" si="0"/>
        <v>#REF!</v>
      </c>
    </row>
    <row r="96" spans="1:15" ht="15.75" hidden="1" customHeight="1" x14ac:dyDescent="0.25">
      <c r="A96" s="83">
        <v>9</v>
      </c>
      <c r="B96" s="83" t="s">
        <v>379</v>
      </c>
      <c r="C96" s="60" t="s">
        <v>82</v>
      </c>
      <c r="D96" s="60">
        <v>448</v>
      </c>
      <c r="E96" s="60">
        <v>225</v>
      </c>
      <c r="F96" s="60">
        <v>0</v>
      </c>
      <c r="G96" s="60">
        <v>0</v>
      </c>
      <c r="H96" s="60">
        <v>0</v>
      </c>
      <c r="I96" s="60">
        <v>673</v>
      </c>
      <c r="J96" s="60">
        <v>88</v>
      </c>
      <c r="K96" s="60">
        <v>3</v>
      </c>
      <c r="L96" s="60">
        <f t="shared" ref="L96:L98" si="10">I96-J96</f>
        <v>585</v>
      </c>
      <c r="M96" s="60"/>
      <c r="N96" s="83" t="str">
        <f>VLOOKUP(B96,Hoja1!$B$1:$C$25,2,0)</f>
        <v>LEONARDO PINZON URIBE</v>
      </c>
      <c r="O96" s="1" t="e">
        <f t="shared" si="0"/>
        <v>#REF!</v>
      </c>
    </row>
    <row r="97" spans="1:15" ht="15.75" hidden="1" customHeight="1" x14ac:dyDescent="0.25">
      <c r="A97" s="83">
        <v>12</v>
      </c>
      <c r="B97" s="83" t="s">
        <v>379</v>
      </c>
      <c r="C97" s="60" t="s">
        <v>82</v>
      </c>
      <c r="D97" s="60">
        <v>100</v>
      </c>
      <c r="E97" s="60">
        <v>107</v>
      </c>
      <c r="F97" s="60">
        <v>0</v>
      </c>
      <c r="G97" s="60">
        <v>0</v>
      </c>
      <c r="H97" s="60">
        <v>0</v>
      </c>
      <c r="I97" s="60">
        <v>207</v>
      </c>
      <c r="J97" s="60">
        <v>241</v>
      </c>
      <c r="K97" s="60">
        <v>4</v>
      </c>
      <c r="L97" s="60">
        <f t="shared" si="10"/>
        <v>-34</v>
      </c>
      <c r="M97" s="60"/>
      <c r="N97" s="83" t="str">
        <f>VLOOKUP(B97,Hoja1!$B$1:$C$25,2,0)</f>
        <v>LEONARDO PINZON URIBE</v>
      </c>
      <c r="O97" s="1" t="e">
        <f t="shared" si="0"/>
        <v>#REF!</v>
      </c>
    </row>
    <row r="98" spans="1:15" ht="15.75" hidden="1" customHeight="1" x14ac:dyDescent="0.25">
      <c r="A98" s="83">
        <v>18</v>
      </c>
      <c r="B98" s="83" t="s">
        <v>379</v>
      </c>
      <c r="C98" s="60" t="s">
        <v>82</v>
      </c>
      <c r="D98" s="60">
        <v>113</v>
      </c>
      <c r="E98" s="60">
        <v>227</v>
      </c>
      <c r="F98" s="60">
        <v>0</v>
      </c>
      <c r="G98" s="60">
        <v>0</v>
      </c>
      <c r="H98" s="60">
        <v>0</v>
      </c>
      <c r="I98" s="60">
        <v>340</v>
      </c>
      <c r="J98" s="60">
        <v>11</v>
      </c>
      <c r="K98" s="60">
        <v>4</v>
      </c>
      <c r="L98" s="60">
        <f t="shared" si="10"/>
        <v>329</v>
      </c>
      <c r="M98" s="60"/>
      <c r="N98" s="83" t="str">
        <f>VLOOKUP(B98,Hoja1!$B$1:$C$25,2,0)</f>
        <v>LEONARDO PINZON URIBE</v>
      </c>
      <c r="O98" s="1" t="e">
        <f t="shared" si="0"/>
        <v>#REF!</v>
      </c>
    </row>
    <row r="99" spans="1:15" ht="15.75" hidden="1" customHeight="1" x14ac:dyDescent="0.25">
      <c r="A99" s="83">
        <v>96</v>
      </c>
      <c r="B99" s="83" t="s">
        <v>379</v>
      </c>
      <c r="C99" s="60" t="s">
        <v>82</v>
      </c>
      <c r="D99" s="60">
        <v>7</v>
      </c>
      <c r="E99" s="60">
        <v>3</v>
      </c>
      <c r="F99" s="60">
        <v>0</v>
      </c>
      <c r="G99" s="60">
        <v>0</v>
      </c>
      <c r="H99" s="60">
        <v>0</v>
      </c>
      <c r="I99" s="60">
        <v>10</v>
      </c>
      <c r="J99" s="60">
        <v>251</v>
      </c>
      <c r="K99" s="60">
        <v>1</v>
      </c>
      <c r="L99" s="60">
        <v>0</v>
      </c>
      <c r="M99" s="60"/>
      <c r="N99" s="83" t="str">
        <f>VLOOKUP(B99,Hoja1!$B$1:$C$25,2,0)</f>
        <v>LEONARDO PINZON URIBE</v>
      </c>
      <c r="O99" s="1" t="e">
        <f t="shared" si="0"/>
        <v>#REF!</v>
      </c>
    </row>
    <row r="100" spans="1:15" ht="15.75" hidden="1" customHeight="1" x14ac:dyDescent="0.25">
      <c r="A100" s="83">
        <v>123</v>
      </c>
      <c r="B100" s="83" t="s">
        <v>379</v>
      </c>
      <c r="C100" s="60" t="s">
        <v>461</v>
      </c>
      <c r="D100" s="60">
        <v>32</v>
      </c>
      <c r="E100" s="60">
        <v>63</v>
      </c>
      <c r="F100" s="60">
        <v>0</v>
      </c>
      <c r="G100" s="60">
        <v>0</v>
      </c>
      <c r="H100" s="60">
        <v>0</v>
      </c>
      <c r="I100" s="60">
        <v>95</v>
      </c>
      <c r="J100" s="60">
        <v>20</v>
      </c>
      <c r="K100" s="60">
        <v>2</v>
      </c>
      <c r="L100" s="60">
        <f>I100-J100</f>
        <v>75</v>
      </c>
      <c r="M100" s="60"/>
      <c r="N100" s="83" t="str">
        <f>VLOOKUP(B100,Hoja1!$B$1:$C$25,2,0)</f>
        <v>LEONARDO PINZON URIBE</v>
      </c>
      <c r="O100" s="1" t="e">
        <f t="shared" si="0"/>
        <v>#REF!</v>
      </c>
    </row>
    <row r="101" spans="1:15" ht="15.75" hidden="1" customHeight="1" x14ac:dyDescent="0.25">
      <c r="A101" s="83">
        <v>207</v>
      </c>
      <c r="B101" s="83" t="s">
        <v>379</v>
      </c>
      <c r="C101" s="60"/>
      <c r="D101" s="60">
        <v>30</v>
      </c>
      <c r="E101" s="60">
        <v>42</v>
      </c>
      <c r="F101" s="60">
        <v>41</v>
      </c>
      <c r="G101" s="60">
        <v>0</v>
      </c>
      <c r="H101" s="60">
        <v>31</v>
      </c>
      <c r="I101" s="60">
        <v>144</v>
      </c>
      <c r="J101" s="60">
        <v>0</v>
      </c>
      <c r="K101" s="60">
        <v>1</v>
      </c>
      <c r="L101" s="60">
        <v>0</v>
      </c>
      <c r="M101" s="60"/>
      <c r="N101" s="83" t="str">
        <f>VLOOKUP(B101,Hoja1!$B$1:$C$25,2,0)</f>
        <v>LEONARDO PINZON URIBE</v>
      </c>
      <c r="O101" s="1" t="e">
        <f t="shared" si="0"/>
        <v>#REF!</v>
      </c>
    </row>
    <row r="102" spans="1:15" ht="15.75" hidden="1" customHeight="1" x14ac:dyDescent="0.25">
      <c r="A102" s="83">
        <v>208</v>
      </c>
      <c r="B102" s="83" t="s">
        <v>379</v>
      </c>
      <c r="C102" s="60"/>
      <c r="D102" s="60">
        <v>29</v>
      </c>
      <c r="E102" s="60">
        <v>95</v>
      </c>
      <c r="F102" s="60">
        <v>59</v>
      </c>
      <c r="G102" s="60">
        <v>0</v>
      </c>
      <c r="H102" s="60">
        <v>65</v>
      </c>
      <c r="I102" s="60">
        <v>248</v>
      </c>
      <c r="J102" s="60">
        <v>0</v>
      </c>
      <c r="K102" s="60">
        <v>1</v>
      </c>
      <c r="L102" s="60">
        <v>0</v>
      </c>
      <c r="M102" s="60"/>
      <c r="N102" s="83" t="str">
        <f>VLOOKUP(B102,Hoja1!$B$1:$C$25,2,0)</f>
        <v>LEONARDO PINZON URIBE</v>
      </c>
      <c r="O102" s="1" t="e">
        <f t="shared" si="0"/>
        <v>#REF!</v>
      </c>
    </row>
    <row r="103" spans="1:15" ht="15.75" hidden="1" customHeight="1" x14ac:dyDescent="0.25">
      <c r="A103" s="83">
        <v>233</v>
      </c>
      <c r="B103" s="83" t="s">
        <v>379</v>
      </c>
      <c r="C103" s="60" t="s">
        <v>82</v>
      </c>
      <c r="D103" s="60">
        <v>11</v>
      </c>
      <c r="E103" s="60">
        <v>100</v>
      </c>
      <c r="F103" s="60">
        <v>0</v>
      </c>
      <c r="G103" s="60">
        <v>0</v>
      </c>
      <c r="H103" s="60">
        <v>0</v>
      </c>
      <c r="I103" s="60">
        <v>111</v>
      </c>
      <c r="J103" s="60">
        <v>177</v>
      </c>
      <c r="K103" s="60">
        <v>1</v>
      </c>
      <c r="L103" s="60">
        <f t="shared" ref="L103:L104" si="11">I103-J103</f>
        <v>-66</v>
      </c>
      <c r="M103" s="60"/>
      <c r="N103" s="83" t="str">
        <f>VLOOKUP(B103,Hoja1!$B$1:$C$25,2,0)</f>
        <v>LEONARDO PINZON URIBE</v>
      </c>
      <c r="O103" s="1" t="e">
        <f t="shared" si="0"/>
        <v>#REF!</v>
      </c>
    </row>
    <row r="104" spans="1:15" ht="15.75" hidden="1" customHeight="1" x14ac:dyDescent="0.25">
      <c r="A104" s="83">
        <v>235</v>
      </c>
      <c r="B104" s="83" t="s">
        <v>379</v>
      </c>
      <c r="C104" s="60" t="s">
        <v>82</v>
      </c>
      <c r="D104" s="60">
        <v>88</v>
      </c>
      <c r="E104" s="60">
        <v>2</v>
      </c>
      <c r="F104" s="60">
        <v>0</v>
      </c>
      <c r="G104" s="60">
        <v>0</v>
      </c>
      <c r="H104" s="60">
        <v>0</v>
      </c>
      <c r="I104" s="60">
        <v>90</v>
      </c>
      <c r="J104" s="60">
        <v>40</v>
      </c>
      <c r="K104" s="60">
        <v>1</v>
      </c>
      <c r="L104" s="60">
        <f t="shared" si="11"/>
        <v>50</v>
      </c>
      <c r="M104" s="60"/>
      <c r="N104" s="83" t="str">
        <f>VLOOKUP(B104,Hoja1!$B$1:$C$25,2,0)</f>
        <v>LEONARDO PINZON URIBE</v>
      </c>
      <c r="O104" s="1" t="e">
        <f t="shared" si="0"/>
        <v>#REF!</v>
      </c>
    </row>
    <row r="105" spans="1:15" ht="15.75" hidden="1" customHeight="1" x14ac:dyDescent="0.25">
      <c r="A105" s="83" t="s">
        <v>380</v>
      </c>
      <c r="B105" s="83" t="s">
        <v>379</v>
      </c>
      <c r="C105" s="60" t="s">
        <v>82</v>
      </c>
      <c r="D105" s="60">
        <v>209</v>
      </c>
      <c r="E105" s="60">
        <v>89</v>
      </c>
      <c r="F105" s="60">
        <v>108</v>
      </c>
      <c r="G105" s="60">
        <v>0</v>
      </c>
      <c r="H105" s="60">
        <v>86</v>
      </c>
      <c r="I105" s="60">
        <v>492</v>
      </c>
      <c r="J105" s="60">
        <v>0</v>
      </c>
      <c r="K105" s="60">
        <v>1</v>
      </c>
      <c r="L105" s="60">
        <v>0</v>
      </c>
      <c r="M105" s="60"/>
      <c r="N105" s="83" t="str">
        <f>VLOOKUP(B105,Hoja1!$B$1:$C$25,2,0)</f>
        <v>LEONARDO PINZON URIBE</v>
      </c>
      <c r="O105" s="1" t="e">
        <f t="shared" si="0"/>
        <v>#REF!</v>
      </c>
    </row>
    <row r="106" spans="1:15" ht="15.75" hidden="1" customHeight="1" x14ac:dyDescent="0.25">
      <c r="A106" s="83" t="s">
        <v>381</v>
      </c>
      <c r="B106" s="83" t="s">
        <v>379</v>
      </c>
      <c r="C106" s="60" t="s">
        <v>82</v>
      </c>
      <c r="D106" s="60">
        <v>510</v>
      </c>
      <c r="E106" s="60">
        <v>525</v>
      </c>
      <c r="F106" s="60">
        <v>525</v>
      </c>
      <c r="G106" s="60">
        <v>0</v>
      </c>
      <c r="H106" s="60">
        <v>610</v>
      </c>
      <c r="I106" s="60">
        <v>2170</v>
      </c>
      <c r="J106" s="60">
        <v>153</v>
      </c>
      <c r="K106" s="60">
        <v>3</v>
      </c>
      <c r="L106" s="60">
        <f t="shared" ref="L106:L107" si="12">I106-J106</f>
        <v>2017</v>
      </c>
      <c r="M106" s="60"/>
      <c r="N106" s="83" t="str">
        <f>VLOOKUP(B106,Hoja1!$B$1:$C$25,2,0)</f>
        <v>LEONARDO PINZON URIBE</v>
      </c>
      <c r="O106" s="1" t="e">
        <f t="shared" si="0"/>
        <v>#REF!</v>
      </c>
    </row>
    <row r="107" spans="1:15" ht="15.75" hidden="1" customHeight="1" x14ac:dyDescent="0.25">
      <c r="A107" s="83" t="s">
        <v>382</v>
      </c>
      <c r="B107" s="83" t="s">
        <v>379</v>
      </c>
      <c r="C107" s="60" t="s">
        <v>82</v>
      </c>
      <c r="D107" s="60">
        <v>177</v>
      </c>
      <c r="E107" s="60">
        <v>184</v>
      </c>
      <c r="F107" s="60">
        <v>100</v>
      </c>
      <c r="G107" s="60">
        <v>0</v>
      </c>
      <c r="H107" s="60">
        <v>177</v>
      </c>
      <c r="I107" s="60">
        <v>638</v>
      </c>
      <c r="J107" s="60">
        <v>0</v>
      </c>
      <c r="K107" s="60">
        <v>3</v>
      </c>
      <c r="L107" s="60">
        <f t="shared" si="12"/>
        <v>638</v>
      </c>
      <c r="M107" s="60"/>
      <c r="N107" s="83" t="str">
        <f>VLOOKUP(B107,Hoja1!$B$1:$C$25,2,0)</f>
        <v>LEONARDO PINZON URIBE</v>
      </c>
      <c r="O107" s="1" t="e">
        <f t="shared" si="0"/>
        <v>#REF!</v>
      </c>
    </row>
    <row r="108" spans="1:15" ht="15.75" hidden="1" customHeight="1" x14ac:dyDescent="0.25">
      <c r="A108" s="83">
        <v>200</v>
      </c>
      <c r="B108" s="83" t="s">
        <v>379</v>
      </c>
      <c r="C108" s="60" t="s">
        <v>45</v>
      </c>
      <c r="D108" s="60">
        <v>14</v>
      </c>
      <c r="E108" s="60">
        <v>7</v>
      </c>
      <c r="F108" s="60">
        <v>0</v>
      </c>
      <c r="G108" s="60">
        <v>0</v>
      </c>
      <c r="H108" s="60">
        <v>0</v>
      </c>
      <c r="I108" s="60">
        <v>21</v>
      </c>
      <c r="J108" s="60">
        <v>0</v>
      </c>
      <c r="K108" s="60">
        <v>0</v>
      </c>
      <c r="L108" s="60">
        <v>0</v>
      </c>
      <c r="M108" s="60"/>
      <c r="N108" s="83" t="str">
        <f>VLOOKUP(B108,Hoja1!$B$1:$C$25,2,0)</f>
        <v>LEONARDO PINZON URIBE</v>
      </c>
      <c r="O108" s="1" t="e">
        <f t="shared" si="0"/>
        <v>#REF!</v>
      </c>
    </row>
    <row r="109" spans="1:15" ht="15.75" hidden="1" customHeight="1" x14ac:dyDescent="0.25">
      <c r="A109" s="83">
        <v>125</v>
      </c>
      <c r="B109" s="83" t="s">
        <v>415</v>
      </c>
      <c r="C109" s="60" t="s">
        <v>82</v>
      </c>
      <c r="D109" s="60">
        <v>26</v>
      </c>
      <c r="E109" s="60">
        <v>0</v>
      </c>
      <c r="F109" s="60">
        <v>0</v>
      </c>
      <c r="G109" s="60">
        <v>0</v>
      </c>
      <c r="H109" s="60">
        <v>0</v>
      </c>
      <c r="I109" s="60">
        <v>26</v>
      </c>
      <c r="J109" s="60">
        <v>26</v>
      </c>
      <c r="K109" s="60">
        <v>0</v>
      </c>
      <c r="L109" s="60" t="s">
        <v>18</v>
      </c>
      <c r="M109" s="60"/>
      <c r="N109" s="83" t="str">
        <f>VLOOKUP(B109,Hoja1!$B$1:$C$25,2,0)</f>
        <v>LEONARDO PINZON URIBE</v>
      </c>
      <c r="O109" s="1" t="e">
        <f t="shared" si="0"/>
        <v>#REF!</v>
      </c>
    </row>
    <row r="110" spans="1:15" ht="15.75" hidden="1" customHeight="1" x14ac:dyDescent="0.25">
      <c r="A110" s="83">
        <v>126</v>
      </c>
      <c r="B110" s="83" t="s">
        <v>415</v>
      </c>
      <c r="C110" s="60" t="s">
        <v>82</v>
      </c>
      <c r="D110" s="60">
        <v>100</v>
      </c>
      <c r="E110" s="60">
        <v>99</v>
      </c>
      <c r="F110" s="60">
        <v>0</v>
      </c>
      <c r="G110" s="60">
        <v>0</v>
      </c>
      <c r="H110" s="60">
        <v>19</v>
      </c>
      <c r="I110" s="60">
        <v>218</v>
      </c>
      <c r="J110" s="60">
        <v>119</v>
      </c>
      <c r="K110" s="60">
        <v>2</v>
      </c>
      <c r="L110" s="60">
        <f t="shared" ref="L110:L111" si="13">I110-J110</f>
        <v>99</v>
      </c>
      <c r="M110" s="85">
        <v>44985</v>
      </c>
      <c r="N110" s="86" t="str">
        <f>VLOOKUP(B110,Hoja1!$B$1:$C$25,2,0)</f>
        <v>LEONARDO PINZON URIBE</v>
      </c>
      <c r="O110" s="1" t="e">
        <f t="shared" si="0"/>
        <v>#REF!</v>
      </c>
    </row>
    <row r="111" spans="1:15" ht="15.75" hidden="1" customHeight="1" x14ac:dyDescent="0.25">
      <c r="A111" s="83">
        <v>127</v>
      </c>
      <c r="B111" s="83" t="s">
        <v>415</v>
      </c>
      <c r="C111" s="60" t="s">
        <v>82</v>
      </c>
      <c r="D111" s="60">
        <v>224</v>
      </c>
      <c r="E111" s="60">
        <v>204</v>
      </c>
      <c r="F111" s="60">
        <v>0</v>
      </c>
      <c r="G111" s="60">
        <v>0</v>
      </c>
      <c r="H111" s="60">
        <v>308</v>
      </c>
      <c r="I111" s="60">
        <v>736</v>
      </c>
      <c r="J111" s="60">
        <v>276</v>
      </c>
      <c r="K111" s="60">
        <v>2</v>
      </c>
      <c r="L111" s="60">
        <f t="shared" si="13"/>
        <v>460</v>
      </c>
      <c r="M111" s="85">
        <v>45016</v>
      </c>
      <c r="N111" s="86" t="str">
        <f>VLOOKUP(B111,Hoja1!$B$1:$C$25,2,0)</f>
        <v>LEONARDO PINZON URIBE</v>
      </c>
      <c r="O111" s="1" t="e">
        <f t="shared" si="0"/>
        <v>#REF!</v>
      </c>
    </row>
    <row r="112" spans="1:15" ht="15.75" hidden="1" customHeight="1" x14ac:dyDescent="0.25">
      <c r="A112" s="83">
        <v>128</v>
      </c>
      <c r="B112" s="83" t="s">
        <v>415</v>
      </c>
      <c r="C112" s="60" t="s">
        <v>82</v>
      </c>
      <c r="D112" s="60">
        <v>55</v>
      </c>
      <c r="E112" s="60">
        <v>46</v>
      </c>
      <c r="F112" s="60">
        <v>0</v>
      </c>
      <c r="G112" s="60">
        <v>0</v>
      </c>
      <c r="H112" s="60">
        <v>2</v>
      </c>
      <c r="I112" s="60">
        <v>103</v>
      </c>
      <c r="J112" s="60">
        <v>135</v>
      </c>
      <c r="K112" s="60">
        <v>1</v>
      </c>
      <c r="L112" s="60" t="s">
        <v>18</v>
      </c>
      <c r="M112" s="87"/>
      <c r="N112" s="83" t="str">
        <f>VLOOKUP(B112,Hoja1!$B$1:$C$25,2,0)</f>
        <v>LEONARDO PINZON URIBE</v>
      </c>
      <c r="O112" s="1" t="e">
        <f t="shared" si="0"/>
        <v>#REF!</v>
      </c>
    </row>
    <row r="113" spans="1:15" ht="15.75" hidden="1" customHeight="1" x14ac:dyDescent="0.25">
      <c r="A113" s="83">
        <v>130</v>
      </c>
      <c r="B113" s="83" t="s">
        <v>415</v>
      </c>
      <c r="C113" s="60" t="s">
        <v>82</v>
      </c>
      <c r="D113" s="60">
        <v>67</v>
      </c>
      <c r="E113" s="60">
        <v>136</v>
      </c>
      <c r="F113" s="60">
        <v>0</v>
      </c>
      <c r="G113" s="60">
        <v>0</v>
      </c>
      <c r="H113" s="60">
        <v>0</v>
      </c>
      <c r="I113" s="60">
        <v>203</v>
      </c>
      <c r="J113" s="60">
        <v>175</v>
      </c>
      <c r="K113" s="60">
        <v>1</v>
      </c>
      <c r="L113" s="60" t="s">
        <v>18</v>
      </c>
      <c r="M113" s="60"/>
      <c r="N113" s="83" t="str">
        <f>VLOOKUP(B113,Hoja1!$B$1:$C$25,2,0)</f>
        <v>LEONARDO PINZON URIBE</v>
      </c>
      <c r="O113" s="1" t="e">
        <f t="shared" si="0"/>
        <v>#REF!</v>
      </c>
    </row>
    <row r="114" spans="1:15" ht="15.75" hidden="1" customHeight="1" x14ac:dyDescent="0.25">
      <c r="A114" s="83">
        <v>144</v>
      </c>
      <c r="B114" s="83" t="s">
        <v>425</v>
      </c>
      <c r="C114" s="60" t="s">
        <v>82</v>
      </c>
      <c r="D114" s="60">
        <v>198</v>
      </c>
      <c r="E114" s="60">
        <v>421</v>
      </c>
      <c r="F114" s="60">
        <v>0</v>
      </c>
      <c r="G114" s="60">
        <v>0</v>
      </c>
      <c r="H114" s="60">
        <v>0</v>
      </c>
      <c r="I114" s="60">
        <v>619</v>
      </c>
      <c r="J114" s="60">
        <v>216</v>
      </c>
      <c r="K114" s="60">
        <v>3</v>
      </c>
      <c r="L114" s="60">
        <f t="shared" ref="L114:L120" si="14">I114-J114</f>
        <v>403</v>
      </c>
      <c r="M114" s="85">
        <v>45000</v>
      </c>
      <c r="N114" s="83" t="str">
        <f>VLOOKUP(B114,Hoja1!$B$1:$C$25,2,0)</f>
        <v>LUISA FERNANDA MEJIA CORREA</v>
      </c>
      <c r="O114" s="1" t="e">
        <f t="shared" si="0"/>
        <v>#REF!</v>
      </c>
    </row>
    <row r="115" spans="1:15" ht="15.75" hidden="1" customHeight="1" x14ac:dyDescent="0.25">
      <c r="A115" s="83">
        <v>145</v>
      </c>
      <c r="B115" s="83" t="s">
        <v>425</v>
      </c>
      <c r="C115" s="60" t="s">
        <v>82</v>
      </c>
      <c r="D115" s="60">
        <v>171</v>
      </c>
      <c r="E115" s="60">
        <v>50</v>
      </c>
      <c r="F115" s="60">
        <v>136</v>
      </c>
      <c r="G115" s="60">
        <v>85</v>
      </c>
      <c r="H115" s="60">
        <v>0</v>
      </c>
      <c r="I115" s="60">
        <v>442</v>
      </c>
      <c r="J115" s="60">
        <v>149</v>
      </c>
      <c r="K115" s="60">
        <v>1</v>
      </c>
      <c r="L115" s="60">
        <f t="shared" si="14"/>
        <v>293</v>
      </c>
      <c r="M115" s="85">
        <v>45000</v>
      </c>
      <c r="N115" s="83" t="str">
        <f>VLOOKUP(B115,Hoja1!$B$1:$C$25,2,0)</f>
        <v>LUISA FERNANDA MEJIA CORREA</v>
      </c>
      <c r="O115" s="1" t="e">
        <f t="shared" si="0"/>
        <v>#REF!</v>
      </c>
    </row>
    <row r="116" spans="1:15" ht="15.75" hidden="1" customHeight="1" x14ac:dyDescent="0.25">
      <c r="A116" s="83">
        <v>146</v>
      </c>
      <c r="B116" s="83" t="s">
        <v>425</v>
      </c>
      <c r="C116" s="60" t="s">
        <v>82</v>
      </c>
      <c r="D116" s="60">
        <v>256</v>
      </c>
      <c r="E116" s="60">
        <v>250</v>
      </c>
      <c r="F116" s="60">
        <v>0</v>
      </c>
      <c r="G116" s="60">
        <v>0</v>
      </c>
      <c r="H116" s="60">
        <v>0</v>
      </c>
      <c r="I116" s="60">
        <v>506</v>
      </c>
      <c r="J116" s="60">
        <v>65</v>
      </c>
      <c r="K116" s="60">
        <v>3</v>
      </c>
      <c r="L116" s="60">
        <f t="shared" si="14"/>
        <v>441</v>
      </c>
      <c r="M116" s="85">
        <v>45000</v>
      </c>
      <c r="N116" s="83" t="str">
        <f>VLOOKUP(B116,Hoja1!$B$1:$C$25,2,0)</f>
        <v>LUISA FERNANDA MEJIA CORREA</v>
      </c>
      <c r="O116" s="1" t="e">
        <f t="shared" si="0"/>
        <v>#REF!</v>
      </c>
    </row>
    <row r="117" spans="1:15" ht="15.75" hidden="1" customHeight="1" x14ac:dyDescent="0.25">
      <c r="A117" s="83">
        <v>147</v>
      </c>
      <c r="B117" s="83" t="s">
        <v>425</v>
      </c>
      <c r="C117" s="60" t="s">
        <v>82</v>
      </c>
      <c r="D117" s="60">
        <v>42</v>
      </c>
      <c r="E117" s="60">
        <v>88</v>
      </c>
      <c r="F117" s="60">
        <v>0</v>
      </c>
      <c r="G117" s="60">
        <v>0</v>
      </c>
      <c r="H117" s="60">
        <v>0</v>
      </c>
      <c r="I117" s="60">
        <v>130</v>
      </c>
      <c r="J117" s="60">
        <v>43</v>
      </c>
      <c r="K117" s="60">
        <v>1</v>
      </c>
      <c r="L117" s="60">
        <f t="shared" si="14"/>
        <v>87</v>
      </c>
      <c r="M117" s="85">
        <v>44985</v>
      </c>
      <c r="N117" s="83" t="str">
        <f>VLOOKUP(B117,Hoja1!$B$1:$C$25,2,0)</f>
        <v>LUISA FERNANDA MEJIA CORREA</v>
      </c>
      <c r="O117" s="1" t="e">
        <f t="shared" si="0"/>
        <v>#REF!</v>
      </c>
    </row>
    <row r="118" spans="1:15" ht="15.75" hidden="1" customHeight="1" x14ac:dyDescent="0.25">
      <c r="A118" s="83">
        <v>193</v>
      </c>
      <c r="B118" s="83" t="s">
        <v>425</v>
      </c>
      <c r="C118" s="60" t="s">
        <v>45</v>
      </c>
      <c r="D118" s="60">
        <v>50</v>
      </c>
      <c r="E118" s="60">
        <v>166</v>
      </c>
      <c r="F118" s="60">
        <v>0</v>
      </c>
      <c r="G118" s="60">
        <v>0</v>
      </c>
      <c r="H118" s="60">
        <v>0</v>
      </c>
      <c r="I118" s="60">
        <v>216</v>
      </c>
      <c r="J118" s="60">
        <v>39</v>
      </c>
      <c r="K118" s="60">
        <v>1</v>
      </c>
      <c r="L118" s="60">
        <f t="shared" si="14"/>
        <v>177</v>
      </c>
      <c r="M118" s="85">
        <v>44985</v>
      </c>
      <c r="N118" s="83" t="str">
        <f>VLOOKUP(B118,Hoja1!$B$1:$C$25,2,0)</f>
        <v>LUISA FERNANDA MEJIA CORREA</v>
      </c>
      <c r="O118" s="1" t="e">
        <f t="shared" si="0"/>
        <v>#REF!</v>
      </c>
    </row>
    <row r="119" spans="1:15" ht="15.75" hidden="1" customHeight="1" x14ac:dyDescent="0.25">
      <c r="A119" s="83">
        <v>211</v>
      </c>
      <c r="B119" s="83" t="s">
        <v>425</v>
      </c>
      <c r="C119" s="60" t="s">
        <v>82</v>
      </c>
      <c r="D119" s="60">
        <v>69</v>
      </c>
      <c r="E119" s="60">
        <v>94</v>
      </c>
      <c r="F119" s="60">
        <v>0</v>
      </c>
      <c r="G119" s="60">
        <v>0</v>
      </c>
      <c r="H119" s="60">
        <v>0</v>
      </c>
      <c r="I119" s="60">
        <v>163</v>
      </c>
      <c r="J119" s="60">
        <v>0</v>
      </c>
      <c r="K119" s="60">
        <v>0</v>
      </c>
      <c r="L119" s="60">
        <f t="shared" si="14"/>
        <v>163</v>
      </c>
      <c r="M119" s="84">
        <v>45046</v>
      </c>
      <c r="N119" s="83" t="str">
        <f>VLOOKUP(B119,Hoja1!$B$1:$C$25,2,0)</f>
        <v>LUISA FERNANDA MEJIA CORREA</v>
      </c>
      <c r="O119" s="1" t="e">
        <f t="shared" si="0"/>
        <v>#REF!</v>
      </c>
    </row>
    <row r="120" spans="1:15" ht="15.75" hidden="1" customHeight="1" x14ac:dyDescent="0.25">
      <c r="A120" s="83">
        <v>257</v>
      </c>
      <c r="B120" s="83" t="s">
        <v>415</v>
      </c>
      <c r="C120" s="60" t="s">
        <v>45</v>
      </c>
      <c r="D120" s="60">
        <v>45</v>
      </c>
      <c r="E120" s="60">
        <v>40</v>
      </c>
      <c r="F120" s="60">
        <v>0</v>
      </c>
      <c r="G120" s="60">
        <v>0</v>
      </c>
      <c r="H120" s="60">
        <v>18</v>
      </c>
      <c r="I120" s="60">
        <v>103</v>
      </c>
      <c r="J120" s="60">
        <v>0</v>
      </c>
      <c r="K120" s="60">
        <v>0</v>
      </c>
      <c r="L120" s="60">
        <f t="shared" si="14"/>
        <v>103</v>
      </c>
      <c r="M120" s="85">
        <v>45016</v>
      </c>
      <c r="N120" s="86" t="str">
        <f>VLOOKUP(B120,Hoja1!$B$1:$C$25,2,0)</f>
        <v>LEONARDO PINZON URIBE</v>
      </c>
      <c r="O120" s="1" t="e">
        <f t="shared" si="0"/>
        <v>#REF!</v>
      </c>
    </row>
    <row r="121" spans="1:15" ht="15.75" hidden="1" customHeight="1" x14ac:dyDescent="0.25">
      <c r="A121" s="83">
        <v>259</v>
      </c>
      <c r="B121" s="83" t="s">
        <v>415</v>
      </c>
      <c r="C121" s="60" t="s">
        <v>45</v>
      </c>
      <c r="D121" s="60">
        <v>5</v>
      </c>
      <c r="E121" s="60">
        <v>20</v>
      </c>
      <c r="F121" s="60">
        <v>0</v>
      </c>
      <c r="G121" s="60">
        <v>0</v>
      </c>
      <c r="H121" s="60">
        <v>0</v>
      </c>
      <c r="I121" s="60">
        <v>25</v>
      </c>
      <c r="J121" s="60">
        <v>40</v>
      </c>
      <c r="K121" s="60">
        <v>0</v>
      </c>
      <c r="L121" s="60" t="s">
        <v>18</v>
      </c>
      <c r="M121" s="87"/>
      <c r="N121" s="83" t="str">
        <f>VLOOKUP(B121,Hoja1!$B$1:$C$25,2,0)</f>
        <v>LEONARDO PINZON URIBE</v>
      </c>
      <c r="O121" s="1" t="e">
        <f t="shared" si="0"/>
        <v>#REF!</v>
      </c>
    </row>
    <row r="122" spans="1:15" ht="15.75" hidden="1" customHeight="1" x14ac:dyDescent="0.25">
      <c r="A122" s="83">
        <v>277</v>
      </c>
      <c r="B122" s="83" t="s">
        <v>415</v>
      </c>
      <c r="C122" s="60" t="s">
        <v>82</v>
      </c>
      <c r="D122" s="60">
        <v>340</v>
      </c>
      <c r="E122" s="60">
        <v>135</v>
      </c>
      <c r="F122" s="60">
        <v>0</v>
      </c>
      <c r="G122" s="60">
        <v>0</v>
      </c>
      <c r="H122" s="60">
        <v>0</v>
      </c>
      <c r="I122" s="60">
        <v>475</v>
      </c>
      <c r="J122" s="60">
        <v>0</v>
      </c>
      <c r="K122" s="60">
        <v>1</v>
      </c>
      <c r="L122" s="60">
        <f t="shared" ref="L122:L126" si="15">I122-J122</f>
        <v>475</v>
      </c>
      <c r="M122" s="85">
        <v>45016</v>
      </c>
      <c r="N122" s="86" t="str">
        <f>VLOOKUP(B122,Hoja1!$B$1:$C$25,2,0)</f>
        <v>LEONARDO PINZON URIBE</v>
      </c>
      <c r="O122" s="1" t="e">
        <f t="shared" si="0"/>
        <v>#REF!</v>
      </c>
    </row>
    <row r="123" spans="1:15" ht="15.75" hidden="1" customHeight="1" x14ac:dyDescent="0.25">
      <c r="A123" s="83">
        <v>279</v>
      </c>
      <c r="B123" s="83" t="s">
        <v>415</v>
      </c>
      <c r="C123" s="60" t="s">
        <v>82</v>
      </c>
      <c r="D123" s="60">
        <v>144</v>
      </c>
      <c r="E123" s="60">
        <v>112</v>
      </c>
      <c r="F123" s="60">
        <v>0</v>
      </c>
      <c r="G123" s="60">
        <v>0</v>
      </c>
      <c r="H123" s="60">
        <v>20</v>
      </c>
      <c r="I123" s="60">
        <v>276</v>
      </c>
      <c r="J123" s="60">
        <v>0</v>
      </c>
      <c r="K123" s="60">
        <v>1</v>
      </c>
      <c r="L123" s="60">
        <f t="shared" si="15"/>
        <v>276</v>
      </c>
      <c r="M123" s="85">
        <v>45016</v>
      </c>
      <c r="N123" s="86" t="str">
        <f>VLOOKUP(B123,Hoja1!$B$1:$C$25,2,0)</f>
        <v>LEONARDO PINZON URIBE</v>
      </c>
      <c r="O123" s="1" t="e">
        <f t="shared" si="0"/>
        <v>#REF!</v>
      </c>
    </row>
    <row r="124" spans="1:15" ht="15.75" hidden="1" customHeight="1" x14ac:dyDescent="0.25">
      <c r="A124" s="83">
        <v>301</v>
      </c>
      <c r="B124" s="83" t="s">
        <v>415</v>
      </c>
      <c r="C124" s="60" t="s">
        <v>45</v>
      </c>
      <c r="D124" s="60">
        <v>99</v>
      </c>
      <c r="E124" s="60">
        <v>101</v>
      </c>
      <c r="F124" s="60">
        <v>0</v>
      </c>
      <c r="G124" s="60">
        <v>0</v>
      </c>
      <c r="H124" s="60">
        <v>74</v>
      </c>
      <c r="I124" s="60">
        <v>274</v>
      </c>
      <c r="J124" s="60">
        <v>0</v>
      </c>
      <c r="K124" s="60">
        <v>0</v>
      </c>
      <c r="L124" s="60">
        <f t="shared" si="15"/>
        <v>274</v>
      </c>
      <c r="M124" s="85">
        <v>45016</v>
      </c>
      <c r="N124" s="86" t="str">
        <f>VLOOKUP(B124,Hoja1!$B$1:$C$25,2,0)</f>
        <v>LEONARDO PINZON URIBE</v>
      </c>
      <c r="O124" s="1" t="e">
        <f t="shared" si="0"/>
        <v>#REF!</v>
      </c>
    </row>
    <row r="125" spans="1:15" ht="15.75" hidden="1" customHeight="1" x14ac:dyDescent="0.25">
      <c r="A125" s="83" t="s">
        <v>417</v>
      </c>
      <c r="B125" s="83" t="s">
        <v>415</v>
      </c>
      <c r="C125" s="60" t="s">
        <v>82</v>
      </c>
      <c r="D125" s="60">
        <v>279</v>
      </c>
      <c r="E125" s="60">
        <v>276</v>
      </c>
      <c r="F125" s="60">
        <v>0</v>
      </c>
      <c r="G125" s="60">
        <v>0</v>
      </c>
      <c r="H125" s="60">
        <v>140</v>
      </c>
      <c r="I125" s="60">
        <v>695</v>
      </c>
      <c r="J125" s="60">
        <v>72</v>
      </c>
      <c r="K125" s="60">
        <v>2</v>
      </c>
      <c r="L125" s="60">
        <f t="shared" si="15"/>
        <v>623</v>
      </c>
      <c r="M125" s="85">
        <v>45016</v>
      </c>
      <c r="N125" s="86" t="str">
        <f>VLOOKUP(B125,Hoja1!$B$1:$C$25,2,0)</f>
        <v>LEONARDO PINZON URIBE</v>
      </c>
      <c r="O125" s="1" t="e">
        <f t="shared" si="0"/>
        <v>#REF!</v>
      </c>
    </row>
    <row r="126" spans="1:15" ht="15.75" hidden="1" customHeight="1" x14ac:dyDescent="0.25">
      <c r="A126" s="83" t="s">
        <v>416</v>
      </c>
      <c r="B126" s="83" t="s">
        <v>415</v>
      </c>
      <c r="C126" s="60" t="s">
        <v>82</v>
      </c>
      <c r="D126" s="60">
        <v>743</v>
      </c>
      <c r="E126" s="60">
        <v>1065</v>
      </c>
      <c r="F126" s="60">
        <v>0</v>
      </c>
      <c r="G126" s="60">
        <v>0</v>
      </c>
      <c r="H126" s="60">
        <v>297</v>
      </c>
      <c r="I126" s="60">
        <v>2105</v>
      </c>
      <c r="J126" s="60">
        <v>797</v>
      </c>
      <c r="K126" s="60">
        <v>0</v>
      </c>
      <c r="L126" s="60">
        <f t="shared" si="15"/>
        <v>1308</v>
      </c>
      <c r="M126" s="84">
        <v>45046</v>
      </c>
      <c r="N126" s="86" t="str">
        <f>VLOOKUP(B126,Hoja1!$B$1:$C$25,2,0)</f>
        <v>LEONARDO PINZON URIBE</v>
      </c>
      <c r="O126" s="1" t="e">
        <f t="shared" si="0"/>
        <v>#REF!</v>
      </c>
    </row>
    <row r="127" spans="1:15" ht="15.75" hidden="1" customHeight="1" x14ac:dyDescent="0.25">
      <c r="A127" s="83">
        <v>339</v>
      </c>
      <c r="B127" s="83" t="s">
        <v>425</v>
      </c>
      <c r="C127" s="60"/>
      <c r="D127" s="60"/>
      <c r="E127" s="60"/>
      <c r="F127" s="60"/>
      <c r="G127" s="60"/>
      <c r="H127" s="60"/>
      <c r="I127" s="60"/>
      <c r="J127" s="60">
        <v>0</v>
      </c>
      <c r="K127" s="60"/>
      <c r="L127" s="60"/>
      <c r="M127" s="87"/>
      <c r="N127" s="83" t="str">
        <f>VLOOKUP(B127,Hoja1!$B$1:$C$25,2,0)</f>
        <v>LUISA FERNANDA MEJIA CORREA</v>
      </c>
      <c r="O127" s="1" t="e">
        <f t="shared" si="0"/>
        <v>#REF!</v>
      </c>
    </row>
    <row r="128" spans="1:15" ht="15.75" hidden="1" customHeight="1" x14ac:dyDescent="0.25">
      <c r="A128" s="83">
        <v>340</v>
      </c>
      <c r="B128" s="83" t="s">
        <v>425</v>
      </c>
      <c r="C128" s="60"/>
      <c r="D128" s="60"/>
      <c r="E128" s="60"/>
      <c r="F128" s="60"/>
      <c r="G128" s="60"/>
      <c r="H128" s="60"/>
      <c r="I128" s="60"/>
      <c r="J128" s="60">
        <v>0</v>
      </c>
      <c r="K128" s="60"/>
      <c r="L128" s="60"/>
      <c r="M128" s="60"/>
      <c r="N128" s="83" t="str">
        <f>VLOOKUP(B128,Hoja1!$B$1:$C$25,2,0)</f>
        <v>LUISA FERNANDA MEJIA CORREA</v>
      </c>
      <c r="O128" s="1" t="e">
        <f t="shared" si="0"/>
        <v>#REF!</v>
      </c>
    </row>
    <row r="129" spans="1:15" ht="15.75" hidden="1" customHeight="1" x14ac:dyDescent="0.25">
      <c r="A129" s="83">
        <v>348</v>
      </c>
      <c r="B129" s="83" t="s">
        <v>415</v>
      </c>
      <c r="C129" s="60"/>
      <c r="D129" s="60"/>
      <c r="E129" s="60"/>
      <c r="F129" s="60"/>
      <c r="G129" s="60"/>
      <c r="H129" s="60"/>
      <c r="I129" s="60"/>
      <c r="J129" s="60">
        <v>0</v>
      </c>
      <c r="K129" s="60"/>
      <c r="L129" s="60"/>
      <c r="M129" s="60"/>
      <c r="N129" s="83" t="str">
        <f>VLOOKUP(B129,Hoja1!$B$1:$C$25,2,0)</f>
        <v>LEONARDO PINZON URIBE</v>
      </c>
      <c r="O129" s="1" t="e">
        <f t="shared" si="0"/>
        <v>#REF!</v>
      </c>
    </row>
    <row r="130" spans="1:15" ht="15.75" hidden="1" customHeight="1" x14ac:dyDescent="0.25">
      <c r="A130" s="83">
        <v>120</v>
      </c>
      <c r="B130" s="83" t="s">
        <v>383</v>
      </c>
      <c r="C130" s="60" t="s">
        <v>82</v>
      </c>
      <c r="D130" s="60">
        <v>36</v>
      </c>
      <c r="E130" s="60">
        <v>5</v>
      </c>
      <c r="F130" s="60">
        <v>0</v>
      </c>
      <c r="G130" s="60">
        <v>0</v>
      </c>
      <c r="H130" s="60">
        <v>0</v>
      </c>
      <c r="I130" s="60">
        <v>41</v>
      </c>
      <c r="J130" s="60">
        <v>25</v>
      </c>
      <c r="K130" s="60">
        <v>1</v>
      </c>
      <c r="L130" s="60">
        <f t="shared" ref="L130:L145" si="16">I130-J130</f>
        <v>16</v>
      </c>
      <c r="M130" s="85">
        <v>44985</v>
      </c>
      <c r="N130" s="86" t="str">
        <f>VLOOKUP(B130,Hoja1!$B$1:$C$25,2,0)</f>
        <v>LEONARDO PINZON URIBE</v>
      </c>
      <c r="O130" s="1" t="e">
        <f t="shared" si="0"/>
        <v>#REF!</v>
      </c>
    </row>
    <row r="131" spans="1:15" ht="15.75" hidden="1" customHeight="1" x14ac:dyDescent="0.25">
      <c r="A131" s="83">
        <v>121</v>
      </c>
      <c r="B131" s="83" t="s">
        <v>383</v>
      </c>
      <c r="C131" s="60" t="s">
        <v>82</v>
      </c>
      <c r="D131" s="60">
        <v>186</v>
      </c>
      <c r="E131" s="60">
        <v>82</v>
      </c>
      <c r="F131" s="60">
        <v>0</v>
      </c>
      <c r="G131" s="60">
        <v>0</v>
      </c>
      <c r="H131" s="60">
        <v>0</v>
      </c>
      <c r="I131" s="60">
        <v>268</v>
      </c>
      <c r="J131" s="60">
        <v>192</v>
      </c>
      <c r="K131" s="60">
        <v>2</v>
      </c>
      <c r="L131" s="60">
        <f t="shared" si="16"/>
        <v>76</v>
      </c>
      <c r="M131" s="85">
        <v>44985</v>
      </c>
      <c r="N131" s="86" t="str">
        <f>VLOOKUP(B131,Hoja1!$B$1:$C$25,2,0)</f>
        <v>LEONARDO PINZON URIBE</v>
      </c>
      <c r="O131" s="1" t="e">
        <f t="shared" si="0"/>
        <v>#REF!</v>
      </c>
    </row>
    <row r="132" spans="1:15" ht="15.75" hidden="1" customHeight="1" x14ac:dyDescent="0.25">
      <c r="A132" s="83">
        <v>124</v>
      </c>
      <c r="B132" s="83" t="s">
        <v>383</v>
      </c>
      <c r="C132" s="60" t="s">
        <v>82</v>
      </c>
      <c r="D132" s="60">
        <v>60</v>
      </c>
      <c r="E132" s="60">
        <v>60</v>
      </c>
      <c r="F132" s="60">
        <v>0</v>
      </c>
      <c r="G132" s="60">
        <v>0</v>
      </c>
      <c r="H132" s="60">
        <v>0</v>
      </c>
      <c r="I132" s="60">
        <v>120</v>
      </c>
      <c r="J132" s="60">
        <v>0</v>
      </c>
      <c r="K132" s="60">
        <v>1</v>
      </c>
      <c r="L132" s="60">
        <f t="shared" si="16"/>
        <v>120</v>
      </c>
      <c r="M132" s="85">
        <v>44985</v>
      </c>
      <c r="N132" s="86" t="str">
        <f>VLOOKUP(B132,Hoja1!$B$1:$C$25,2,0)</f>
        <v>LEONARDO PINZON URIBE</v>
      </c>
      <c r="O132" s="1" t="e">
        <f t="shared" si="0"/>
        <v>#REF!</v>
      </c>
    </row>
    <row r="133" spans="1:15" ht="15.75" hidden="1" customHeight="1" x14ac:dyDescent="0.25">
      <c r="A133" s="83">
        <v>160</v>
      </c>
      <c r="B133" s="83" t="s">
        <v>383</v>
      </c>
      <c r="C133" s="60" t="s">
        <v>82</v>
      </c>
      <c r="D133" s="60">
        <v>286</v>
      </c>
      <c r="E133" s="60">
        <v>286</v>
      </c>
      <c r="F133" s="60">
        <v>0</v>
      </c>
      <c r="G133" s="60">
        <v>0</v>
      </c>
      <c r="H133" s="60">
        <v>0</v>
      </c>
      <c r="I133" s="60">
        <v>572</v>
      </c>
      <c r="J133" s="60">
        <v>238</v>
      </c>
      <c r="K133" s="60">
        <v>4</v>
      </c>
      <c r="L133" s="60">
        <f t="shared" si="16"/>
        <v>334</v>
      </c>
      <c r="M133" s="84">
        <v>45000</v>
      </c>
      <c r="N133" s="86" t="str">
        <f>VLOOKUP(B133,Hoja1!$B$1:$C$25,2,0)</f>
        <v>LEONARDO PINZON URIBE</v>
      </c>
      <c r="O133" s="1" t="e">
        <f t="shared" si="0"/>
        <v>#REF!</v>
      </c>
    </row>
    <row r="134" spans="1:15" ht="15.75" hidden="1" customHeight="1" x14ac:dyDescent="0.25">
      <c r="A134" s="83">
        <v>161</v>
      </c>
      <c r="B134" s="83" t="s">
        <v>383</v>
      </c>
      <c r="C134" s="60" t="s">
        <v>82</v>
      </c>
      <c r="D134" s="60">
        <v>139</v>
      </c>
      <c r="E134" s="60">
        <v>77</v>
      </c>
      <c r="F134" s="60">
        <v>0</v>
      </c>
      <c r="G134" s="60">
        <v>0</v>
      </c>
      <c r="H134" s="60">
        <v>0</v>
      </c>
      <c r="I134" s="60">
        <v>216</v>
      </c>
      <c r="J134" s="60">
        <v>22</v>
      </c>
      <c r="K134" s="60">
        <v>1</v>
      </c>
      <c r="L134" s="60">
        <f t="shared" si="16"/>
        <v>194</v>
      </c>
      <c r="M134" s="85">
        <v>45000</v>
      </c>
      <c r="N134" s="86" t="str">
        <f>VLOOKUP(B134,Hoja1!$B$1:$C$25,2,0)</f>
        <v>LEONARDO PINZON URIBE</v>
      </c>
      <c r="O134" s="1" t="e">
        <f t="shared" si="0"/>
        <v>#REF!</v>
      </c>
    </row>
    <row r="135" spans="1:15" ht="15.75" hidden="1" customHeight="1" x14ac:dyDescent="0.25">
      <c r="A135" s="83">
        <v>162</v>
      </c>
      <c r="B135" s="83" t="s">
        <v>383</v>
      </c>
      <c r="C135" s="60" t="s">
        <v>82</v>
      </c>
      <c r="D135" s="60">
        <v>256</v>
      </c>
      <c r="E135" s="60">
        <v>97</v>
      </c>
      <c r="F135" s="60">
        <v>0</v>
      </c>
      <c r="G135" s="60">
        <v>0</v>
      </c>
      <c r="H135" s="60">
        <v>0</v>
      </c>
      <c r="I135" s="60">
        <v>353</v>
      </c>
      <c r="J135" s="60">
        <v>192</v>
      </c>
      <c r="K135" s="60">
        <v>4</v>
      </c>
      <c r="L135" s="60">
        <f t="shared" si="16"/>
        <v>161</v>
      </c>
      <c r="M135" s="85">
        <v>44985</v>
      </c>
      <c r="N135" s="86" t="str">
        <f>VLOOKUP(B135,Hoja1!$B$1:$C$25,2,0)</f>
        <v>LEONARDO PINZON URIBE</v>
      </c>
      <c r="O135" s="1" t="e">
        <f t="shared" si="0"/>
        <v>#REF!</v>
      </c>
    </row>
    <row r="136" spans="1:15" ht="15.75" hidden="1" customHeight="1" x14ac:dyDescent="0.25">
      <c r="A136" s="83">
        <v>163</v>
      </c>
      <c r="B136" s="83" t="s">
        <v>383</v>
      </c>
      <c r="C136" s="60" t="s">
        <v>82</v>
      </c>
      <c r="D136" s="60">
        <v>250</v>
      </c>
      <c r="E136" s="60">
        <v>98</v>
      </c>
      <c r="F136" s="60">
        <v>0</v>
      </c>
      <c r="G136" s="60">
        <v>0</v>
      </c>
      <c r="H136" s="60">
        <v>0</v>
      </c>
      <c r="I136" s="60">
        <v>348</v>
      </c>
      <c r="J136" s="60">
        <v>130</v>
      </c>
      <c r="K136" s="60">
        <v>2</v>
      </c>
      <c r="L136" s="60">
        <f t="shared" si="16"/>
        <v>218</v>
      </c>
      <c r="M136" s="85">
        <v>45000</v>
      </c>
      <c r="N136" s="86" t="str">
        <f>VLOOKUP(B136,Hoja1!$B$1:$C$25,2,0)</f>
        <v>LEONARDO PINZON URIBE</v>
      </c>
      <c r="O136" s="1" t="e">
        <f t="shared" si="0"/>
        <v>#REF!</v>
      </c>
    </row>
    <row r="137" spans="1:15" ht="15.75" hidden="1" customHeight="1" x14ac:dyDescent="0.25">
      <c r="A137" s="83">
        <v>164</v>
      </c>
      <c r="B137" s="83" t="s">
        <v>383</v>
      </c>
      <c r="C137" s="60" t="s">
        <v>82</v>
      </c>
      <c r="D137" s="60">
        <v>297</v>
      </c>
      <c r="E137" s="60">
        <v>175</v>
      </c>
      <c r="F137" s="60">
        <v>0</v>
      </c>
      <c r="G137" s="60">
        <v>0</v>
      </c>
      <c r="H137" s="60">
        <v>0</v>
      </c>
      <c r="I137" s="60">
        <v>472</v>
      </c>
      <c r="J137" s="60">
        <v>0</v>
      </c>
      <c r="K137" s="60">
        <v>2</v>
      </c>
      <c r="L137" s="60">
        <f t="shared" si="16"/>
        <v>472</v>
      </c>
      <c r="M137" s="85">
        <v>45000</v>
      </c>
      <c r="N137" s="86" t="str">
        <f>VLOOKUP(B137,Hoja1!$B$1:$C$25,2,0)</f>
        <v>LEONARDO PINZON URIBE</v>
      </c>
      <c r="O137" s="1" t="e">
        <f t="shared" si="0"/>
        <v>#REF!</v>
      </c>
    </row>
    <row r="138" spans="1:15" ht="15.75" hidden="1" customHeight="1" x14ac:dyDescent="0.25">
      <c r="A138" s="83">
        <v>165</v>
      </c>
      <c r="B138" s="83" t="s">
        <v>383</v>
      </c>
      <c r="C138" s="60" t="s">
        <v>82</v>
      </c>
      <c r="D138" s="60">
        <v>146</v>
      </c>
      <c r="E138" s="60">
        <v>60</v>
      </c>
      <c r="F138" s="60">
        <v>0</v>
      </c>
      <c r="G138" s="60">
        <v>0</v>
      </c>
      <c r="H138" s="60">
        <v>0</v>
      </c>
      <c r="I138" s="60">
        <v>206</v>
      </c>
      <c r="J138" s="60">
        <v>0</v>
      </c>
      <c r="K138" s="60">
        <v>0</v>
      </c>
      <c r="L138" s="60">
        <f t="shared" si="16"/>
        <v>206</v>
      </c>
      <c r="M138" s="84">
        <v>45046</v>
      </c>
      <c r="N138" s="86" t="str">
        <f>VLOOKUP(B138,Hoja1!$B$1:$C$25,2,0)</f>
        <v>LEONARDO PINZON URIBE</v>
      </c>
      <c r="O138" s="1" t="e">
        <f t="shared" si="0"/>
        <v>#REF!</v>
      </c>
    </row>
    <row r="139" spans="1:15" ht="15.75" hidden="1" customHeight="1" x14ac:dyDescent="0.25">
      <c r="A139" s="83">
        <v>166</v>
      </c>
      <c r="B139" s="83" t="s">
        <v>383</v>
      </c>
      <c r="C139" s="60" t="s">
        <v>82</v>
      </c>
      <c r="D139" s="60">
        <v>80</v>
      </c>
      <c r="E139" s="60">
        <v>20</v>
      </c>
      <c r="F139" s="60">
        <v>0</v>
      </c>
      <c r="G139" s="60">
        <v>0</v>
      </c>
      <c r="H139" s="60">
        <v>0</v>
      </c>
      <c r="I139" s="60">
        <v>100</v>
      </c>
      <c r="J139" s="60">
        <v>58</v>
      </c>
      <c r="K139" s="60">
        <v>1</v>
      </c>
      <c r="L139" s="60">
        <f t="shared" si="16"/>
        <v>42</v>
      </c>
      <c r="M139" s="85">
        <v>44985</v>
      </c>
      <c r="N139" s="86" t="str">
        <f>VLOOKUP(B139,Hoja1!$B$1:$C$25,2,0)</f>
        <v>LEONARDO PINZON URIBE</v>
      </c>
      <c r="O139" s="1" t="e">
        <f t="shared" si="0"/>
        <v>#REF!</v>
      </c>
    </row>
    <row r="140" spans="1:15" ht="15.75" hidden="1" customHeight="1" x14ac:dyDescent="0.25">
      <c r="A140" s="83">
        <v>188</v>
      </c>
      <c r="B140" s="83" t="s">
        <v>383</v>
      </c>
      <c r="C140" s="60" t="s">
        <v>82</v>
      </c>
      <c r="D140" s="60">
        <v>100</v>
      </c>
      <c r="E140" s="60">
        <v>40</v>
      </c>
      <c r="F140" s="60">
        <v>0</v>
      </c>
      <c r="G140" s="60">
        <v>0</v>
      </c>
      <c r="H140" s="60">
        <v>0</v>
      </c>
      <c r="I140" s="60">
        <v>140</v>
      </c>
      <c r="J140" s="60">
        <v>0</v>
      </c>
      <c r="K140" s="60">
        <v>1</v>
      </c>
      <c r="L140" s="60">
        <f t="shared" si="16"/>
        <v>140</v>
      </c>
      <c r="M140" s="85">
        <v>45000</v>
      </c>
      <c r="N140" s="86" t="str">
        <f>VLOOKUP(B140,Hoja1!$B$1:$C$25,2,0)</f>
        <v>LEONARDO PINZON URIBE</v>
      </c>
      <c r="O140" s="1" t="e">
        <f t="shared" si="0"/>
        <v>#REF!</v>
      </c>
    </row>
    <row r="141" spans="1:15" ht="15.75" hidden="1" customHeight="1" x14ac:dyDescent="0.25">
      <c r="A141" s="83">
        <v>223</v>
      </c>
      <c r="B141" s="83" t="s">
        <v>383</v>
      </c>
      <c r="C141" s="60" t="s">
        <v>45</v>
      </c>
      <c r="D141" s="60">
        <v>54</v>
      </c>
      <c r="E141" s="60">
        <v>0</v>
      </c>
      <c r="F141" s="60">
        <v>0</v>
      </c>
      <c r="G141" s="60">
        <v>0</v>
      </c>
      <c r="H141" s="60">
        <v>0</v>
      </c>
      <c r="I141" s="60">
        <v>54</v>
      </c>
      <c r="J141" s="60">
        <v>0</v>
      </c>
      <c r="K141" s="60">
        <v>0</v>
      </c>
      <c r="L141" s="60">
        <f t="shared" si="16"/>
        <v>54</v>
      </c>
      <c r="M141" s="85">
        <v>44985</v>
      </c>
      <c r="N141" s="86" t="str">
        <f>VLOOKUP(B141,Hoja1!$B$1:$C$25,2,0)</f>
        <v>LEONARDO PINZON URIBE</v>
      </c>
      <c r="O141" s="1" t="e">
        <f t="shared" si="0"/>
        <v>#REF!</v>
      </c>
    </row>
    <row r="142" spans="1:15" ht="15.75" hidden="1" customHeight="1" x14ac:dyDescent="0.25">
      <c r="A142" s="83">
        <v>225</v>
      </c>
      <c r="B142" s="83" t="s">
        <v>383</v>
      </c>
      <c r="C142" s="60" t="s">
        <v>82</v>
      </c>
      <c r="D142" s="60">
        <v>67</v>
      </c>
      <c r="E142" s="60">
        <v>74</v>
      </c>
      <c r="F142" s="60">
        <v>0</v>
      </c>
      <c r="G142" s="60">
        <v>0</v>
      </c>
      <c r="H142" s="60">
        <v>0</v>
      </c>
      <c r="I142" s="60">
        <v>141</v>
      </c>
      <c r="J142" s="60">
        <v>0</v>
      </c>
      <c r="K142" s="60">
        <v>1</v>
      </c>
      <c r="L142" s="60">
        <f t="shared" si="16"/>
        <v>141</v>
      </c>
      <c r="M142" s="85">
        <v>44985</v>
      </c>
      <c r="N142" s="86" t="str">
        <f>VLOOKUP(B142,Hoja1!$B$1:$C$25,2,0)</f>
        <v>LEONARDO PINZON URIBE</v>
      </c>
      <c r="O142" s="1" t="e">
        <f t="shared" si="0"/>
        <v>#REF!</v>
      </c>
    </row>
    <row r="143" spans="1:15" ht="15.75" hidden="1" customHeight="1" x14ac:dyDescent="0.25">
      <c r="A143" s="83">
        <v>229</v>
      </c>
      <c r="B143" s="83" t="s">
        <v>383</v>
      </c>
      <c r="C143" s="60" t="s">
        <v>82</v>
      </c>
      <c r="D143" s="60">
        <v>81</v>
      </c>
      <c r="E143" s="60">
        <v>45</v>
      </c>
      <c r="F143" s="60">
        <v>0</v>
      </c>
      <c r="G143" s="60">
        <v>0</v>
      </c>
      <c r="H143" s="60">
        <v>0</v>
      </c>
      <c r="I143" s="60">
        <v>126</v>
      </c>
      <c r="J143" s="60">
        <v>104</v>
      </c>
      <c r="K143" s="60">
        <v>1</v>
      </c>
      <c r="L143" s="60">
        <f t="shared" si="16"/>
        <v>22</v>
      </c>
      <c r="M143" s="85">
        <v>44985</v>
      </c>
      <c r="N143" s="86" t="str">
        <f>VLOOKUP(B143,Hoja1!$B$1:$C$25,2,0)</f>
        <v>LEONARDO PINZON URIBE</v>
      </c>
      <c r="O143" s="1" t="e">
        <f t="shared" si="0"/>
        <v>#REF!</v>
      </c>
    </row>
    <row r="144" spans="1:15" ht="15.75" hidden="1" customHeight="1" x14ac:dyDescent="0.25">
      <c r="A144" s="83">
        <v>234</v>
      </c>
      <c r="B144" s="83" t="s">
        <v>383</v>
      </c>
      <c r="C144" s="60" t="s">
        <v>458</v>
      </c>
      <c r="D144" s="60">
        <v>0</v>
      </c>
      <c r="E144" s="60">
        <v>0</v>
      </c>
      <c r="F144" s="60">
        <v>0</v>
      </c>
      <c r="G144" s="60">
        <v>0</v>
      </c>
      <c r="H144" s="60">
        <v>0</v>
      </c>
      <c r="I144" s="60">
        <v>0</v>
      </c>
      <c r="J144" s="60">
        <v>0</v>
      </c>
      <c r="K144" s="60">
        <v>0</v>
      </c>
      <c r="L144" s="60">
        <f t="shared" si="16"/>
        <v>0</v>
      </c>
      <c r="M144" s="60"/>
      <c r="N144" s="86" t="str">
        <f>VLOOKUP(B144,Hoja1!$B$1:$C$25,2,0)</f>
        <v>LEONARDO PINZON URIBE</v>
      </c>
      <c r="O144" s="1" t="e">
        <f t="shared" si="0"/>
        <v>#REF!</v>
      </c>
    </row>
    <row r="145" spans="1:15" ht="15.75" hidden="1" customHeight="1" x14ac:dyDescent="0.25">
      <c r="A145" s="83">
        <v>291</v>
      </c>
      <c r="B145" s="83" t="s">
        <v>383</v>
      </c>
      <c r="C145" s="60" t="s">
        <v>45</v>
      </c>
      <c r="D145" s="60">
        <v>40</v>
      </c>
      <c r="E145" s="60">
        <v>27</v>
      </c>
      <c r="F145" s="60">
        <v>0</v>
      </c>
      <c r="G145" s="60">
        <v>0</v>
      </c>
      <c r="H145" s="60">
        <v>0</v>
      </c>
      <c r="I145" s="60">
        <v>67</v>
      </c>
      <c r="J145" s="60">
        <v>0</v>
      </c>
      <c r="K145" s="60">
        <v>0</v>
      </c>
      <c r="L145" s="60">
        <f t="shared" si="16"/>
        <v>67</v>
      </c>
      <c r="M145" s="85">
        <v>44985</v>
      </c>
      <c r="N145" s="86" t="str">
        <f>VLOOKUP(B145,Hoja1!$B$1:$C$25,2,0)</f>
        <v>LEONARDO PINZON URIBE</v>
      </c>
      <c r="O145" s="1" t="e">
        <f t="shared" si="0"/>
        <v>#REF!</v>
      </c>
    </row>
    <row r="146" spans="1:15" ht="15.75" hidden="1" customHeight="1" x14ac:dyDescent="0.25">
      <c r="A146" s="83">
        <v>315</v>
      </c>
      <c r="B146" s="83" t="s">
        <v>383</v>
      </c>
      <c r="C146" s="60" t="s">
        <v>82</v>
      </c>
      <c r="D146" s="60" t="e">
        <v>#N/A</v>
      </c>
      <c r="E146" s="60" t="e">
        <v>#N/A</v>
      </c>
      <c r="F146" s="60">
        <v>0</v>
      </c>
      <c r="G146" s="60">
        <v>0</v>
      </c>
      <c r="H146" s="60">
        <v>0</v>
      </c>
      <c r="I146" s="60" t="e">
        <v>#N/A</v>
      </c>
      <c r="J146" s="60">
        <v>0</v>
      </c>
      <c r="K146" s="60">
        <v>2</v>
      </c>
      <c r="L146" s="60" t="s">
        <v>18</v>
      </c>
      <c r="M146" s="60"/>
      <c r="N146" s="86" t="str">
        <f>VLOOKUP(B146,Hoja1!$B$1:$C$25,2,0)</f>
        <v>LEONARDO PINZON URIBE</v>
      </c>
      <c r="O146" s="1" t="e">
        <f t="shared" si="0"/>
        <v>#REF!</v>
      </c>
    </row>
    <row r="147" spans="1:15" ht="15.75" hidden="1" customHeight="1" x14ac:dyDescent="0.25">
      <c r="A147" s="83">
        <v>316</v>
      </c>
      <c r="B147" s="83" t="s">
        <v>383</v>
      </c>
      <c r="C147" s="60" t="s">
        <v>82</v>
      </c>
      <c r="D147" s="60" t="e">
        <v>#N/A</v>
      </c>
      <c r="E147" s="60" t="e">
        <v>#N/A</v>
      </c>
      <c r="F147" s="60">
        <v>0</v>
      </c>
      <c r="G147" s="60">
        <v>0</v>
      </c>
      <c r="H147" s="60">
        <v>0</v>
      </c>
      <c r="I147" s="60" t="e">
        <v>#N/A</v>
      </c>
      <c r="J147" s="60">
        <v>19</v>
      </c>
      <c r="K147" s="60">
        <v>0</v>
      </c>
      <c r="L147" s="60" t="s">
        <v>18</v>
      </c>
      <c r="M147" s="60"/>
      <c r="N147" s="86" t="str">
        <f>VLOOKUP(B147,Hoja1!$B$1:$C$25,2,0)</f>
        <v>LEONARDO PINZON URIBE</v>
      </c>
      <c r="O147" s="1" t="e">
        <f t="shared" si="0"/>
        <v>#REF!</v>
      </c>
    </row>
    <row r="148" spans="1:15" ht="15.75" hidden="1" customHeight="1" x14ac:dyDescent="0.25">
      <c r="A148" s="83" t="s">
        <v>384</v>
      </c>
      <c r="B148" s="83" t="s">
        <v>383</v>
      </c>
      <c r="C148" s="60" t="s">
        <v>82</v>
      </c>
      <c r="D148" s="60" t="e">
        <v>#N/A</v>
      </c>
      <c r="E148" s="60" t="e">
        <v>#N/A</v>
      </c>
      <c r="F148" s="60">
        <v>0</v>
      </c>
      <c r="G148" s="60">
        <v>0</v>
      </c>
      <c r="H148" s="60">
        <v>0</v>
      </c>
      <c r="I148" s="60" t="e">
        <v>#N/A</v>
      </c>
      <c r="J148" s="60">
        <v>0</v>
      </c>
      <c r="K148" s="60">
        <v>0</v>
      </c>
      <c r="L148" s="60" t="s">
        <v>18</v>
      </c>
      <c r="M148" s="60"/>
      <c r="N148" s="86" t="str">
        <f>VLOOKUP(B148,Hoja1!$B$1:$C$25,2,0)</f>
        <v>LEONARDO PINZON URIBE</v>
      </c>
      <c r="O148" s="1" t="e">
        <f t="shared" si="0"/>
        <v>#REF!</v>
      </c>
    </row>
    <row r="149" spans="1:15" ht="15.75" hidden="1" customHeight="1" x14ac:dyDescent="0.25">
      <c r="A149" s="83" t="s">
        <v>385</v>
      </c>
      <c r="B149" s="83" t="s">
        <v>383</v>
      </c>
      <c r="C149" s="60" t="s">
        <v>82</v>
      </c>
      <c r="D149" s="60" t="e">
        <v>#N/A</v>
      </c>
      <c r="E149" s="60" t="e">
        <v>#N/A</v>
      </c>
      <c r="F149" s="60">
        <v>0</v>
      </c>
      <c r="G149" s="60">
        <v>0</v>
      </c>
      <c r="H149" s="60">
        <v>0</v>
      </c>
      <c r="I149" s="60" t="e">
        <v>#N/A</v>
      </c>
      <c r="J149" s="60">
        <v>0</v>
      </c>
      <c r="K149" s="60">
        <v>0</v>
      </c>
      <c r="L149" s="60" t="s">
        <v>18</v>
      </c>
      <c r="M149" s="60"/>
      <c r="N149" s="83" t="str">
        <f>VLOOKUP(B149,Hoja1!$B$1:$C$25,2,0)</f>
        <v>LEONARDO PINZON URIBE</v>
      </c>
      <c r="O149" s="1" t="e">
        <f t="shared" si="0"/>
        <v>#REF!</v>
      </c>
    </row>
    <row r="150" spans="1:15" ht="15.75" hidden="1" customHeight="1" x14ac:dyDescent="0.25">
      <c r="A150" s="83" t="s">
        <v>386</v>
      </c>
      <c r="B150" s="83" t="s">
        <v>383</v>
      </c>
      <c r="C150" s="60" t="s">
        <v>82</v>
      </c>
      <c r="D150" s="60" t="e">
        <v>#N/A</v>
      </c>
      <c r="E150" s="60" t="e">
        <v>#N/A</v>
      </c>
      <c r="F150" s="60">
        <v>0</v>
      </c>
      <c r="G150" s="60">
        <v>0</v>
      </c>
      <c r="H150" s="60">
        <v>0</v>
      </c>
      <c r="I150" s="60" t="e">
        <v>#N/A</v>
      </c>
      <c r="J150" s="60">
        <v>0</v>
      </c>
      <c r="K150" s="60">
        <v>0</v>
      </c>
      <c r="L150" s="60" t="s">
        <v>18</v>
      </c>
      <c r="M150" s="60"/>
      <c r="N150" s="83" t="str">
        <f>VLOOKUP(B150,Hoja1!$B$1:$C$25,2,0)</f>
        <v>LEONARDO PINZON URIBE</v>
      </c>
      <c r="O150" s="1" t="e">
        <f t="shared" si="0"/>
        <v>#REF!</v>
      </c>
    </row>
    <row r="151" spans="1:15" ht="15.75" hidden="1" customHeight="1" x14ac:dyDescent="0.25">
      <c r="A151" s="83">
        <v>268</v>
      </c>
      <c r="B151" s="83" t="s">
        <v>383</v>
      </c>
      <c r="C151" s="60"/>
      <c r="D151" s="60"/>
      <c r="E151" s="60"/>
      <c r="F151" s="60"/>
      <c r="G151" s="60"/>
      <c r="H151" s="60"/>
      <c r="I151" s="60"/>
      <c r="J151" s="60">
        <v>0</v>
      </c>
      <c r="K151" s="60"/>
      <c r="L151" s="60"/>
      <c r="M151" s="60"/>
      <c r="N151" s="83" t="str">
        <f>VLOOKUP(B151,Hoja1!$B$1:$C$25,2,0)</f>
        <v>LEONARDO PINZON URIBE</v>
      </c>
      <c r="O151" s="1" t="e">
        <f t="shared" si="0"/>
        <v>#REF!</v>
      </c>
    </row>
    <row r="152" spans="1:15" ht="15.75" hidden="1" customHeight="1" x14ac:dyDescent="0.25">
      <c r="A152" s="83">
        <v>63</v>
      </c>
      <c r="B152" s="83" t="s">
        <v>387</v>
      </c>
      <c r="C152" s="60"/>
      <c r="D152" s="60">
        <v>56</v>
      </c>
      <c r="E152" s="60">
        <v>12</v>
      </c>
      <c r="F152" s="60">
        <v>0</v>
      </c>
      <c r="G152" s="60">
        <v>0</v>
      </c>
      <c r="H152" s="60">
        <v>0</v>
      </c>
      <c r="I152" s="60">
        <v>68</v>
      </c>
      <c r="J152" s="60">
        <v>0</v>
      </c>
      <c r="K152" s="60">
        <v>1</v>
      </c>
      <c r="L152" s="60">
        <f t="shared" ref="L152:L166" si="17">I152-J152</f>
        <v>68</v>
      </c>
      <c r="M152" s="84">
        <v>44985</v>
      </c>
      <c r="N152" s="83" t="str">
        <f>VLOOKUP(B152,Hoja1!$B$1:$C$25,2,0)</f>
        <v>EDGAR JAVIER CASTAÑEDA GIL</v>
      </c>
      <c r="O152" s="1" t="e">
        <f t="shared" si="0"/>
        <v>#REF!</v>
      </c>
    </row>
    <row r="153" spans="1:15" ht="15.75" hidden="1" customHeight="1" x14ac:dyDescent="0.25">
      <c r="A153" s="83">
        <v>64</v>
      </c>
      <c r="B153" s="83" t="s">
        <v>387</v>
      </c>
      <c r="C153" s="60"/>
      <c r="D153" s="60">
        <v>61</v>
      </c>
      <c r="E153" s="60">
        <v>2</v>
      </c>
      <c r="F153" s="60">
        <v>0</v>
      </c>
      <c r="G153" s="60">
        <v>0</v>
      </c>
      <c r="H153" s="60">
        <v>0</v>
      </c>
      <c r="I153" s="60">
        <v>63</v>
      </c>
      <c r="J153" s="60">
        <v>22</v>
      </c>
      <c r="K153" s="60">
        <v>1</v>
      </c>
      <c r="L153" s="60">
        <f t="shared" si="17"/>
        <v>41</v>
      </c>
      <c r="M153" s="84">
        <v>44985</v>
      </c>
      <c r="N153" s="83" t="str">
        <f>VLOOKUP(B153,Hoja1!$B$1:$C$25,2,0)</f>
        <v>EDGAR JAVIER CASTAÑEDA GIL</v>
      </c>
      <c r="O153" s="1" t="e">
        <f t="shared" si="0"/>
        <v>#REF!</v>
      </c>
    </row>
    <row r="154" spans="1:15" ht="15.75" hidden="1" customHeight="1" x14ac:dyDescent="0.25">
      <c r="A154" s="83">
        <v>171</v>
      </c>
      <c r="B154" s="83" t="s">
        <v>387</v>
      </c>
      <c r="C154" s="60"/>
      <c r="D154" s="60">
        <v>11</v>
      </c>
      <c r="E154" s="60">
        <v>2</v>
      </c>
      <c r="F154" s="60">
        <v>0</v>
      </c>
      <c r="G154" s="60">
        <v>0</v>
      </c>
      <c r="H154" s="60">
        <v>0</v>
      </c>
      <c r="I154" s="60">
        <v>13</v>
      </c>
      <c r="J154" s="60">
        <v>0</v>
      </c>
      <c r="K154" s="60">
        <v>2</v>
      </c>
      <c r="L154" s="60">
        <f t="shared" si="17"/>
        <v>13</v>
      </c>
      <c r="M154" s="84">
        <v>44985</v>
      </c>
      <c r="N154" s="83" t="str">
        <f>VLOOKUP(B154,Hoja1!$B$1:$C$25,2,0)</f>
        <v>EDGAR JAVIER CASTAÑEDA GIL</v>
      </c>
      <c r="O154" s="1" t="e">
        <f t="shared" si="0"/>
        <v>#REF!</v>
      </c>
    </row>
    <row r="155" spans="1:15" ht="15.75" hidden="1" customHeight="1" x14ac:dyDescent="0.25">
      <c r="A155" s="83">
        <v>172</v>
      </c>
      <c r="B155" s="83" t="s">
        <v>387</v>
      </c>
      <c r="C155" s="60"/>
      <c r="D155" s="60">
        <v>175</v>
      </c>
      <c r="E155" s="60">
        <v>60</v>
      </c>
      <c r="F155" s="60">
        <v>0</v>
      </c>
      <c r="G155" s="60">
        <v>0</v>
      </c>
      <c r="H155" s="60">
        <v>0</v>
      </c>
      <c r="I155" s="60">
        <v>235</v>
      </c>
      <c r="J155" s="60">
        <v>241</v>
      </c>
      <c r="K155" s="60">
        <v>1</v>
      </c>
      <c r="L155" s="60">
        <f t="shared" si="17"/>
        <v>-6</v>
      </c>
      <c r="M155" s="60"/>
      <c r="N155" s="83" t="str">
        <f>VLOOKUP(B155,Hoja1!$B$1:$C$25,2,0)</f>
        <v>EDGAR JAVIER CASTAÑEDA GIL</v>
      </c>
      <c r="O155" s="1" t="e">
        <f t="shared" si="0"/>
        <v>#REF!</v>
      </c>
    </row>
    <row r="156" spans="1:15" ht="15.75" hidden="1" customHeight="1" x14ac:dyDescent="0.25">
      <c r="A156" s="83">
        <v>175</v>
      </c>
      <c r="B156" s="83" t="s">
        <v>387</v>
      </c>
      <c r="C156" s="60"/>
      <c r="D156" s="60">
        <v>112</v>
      </c>
      <c r="E156" s="60">
        <v>92</v>
      </c>
      <c r="F156" s="60">
        <v>0</v>
      </c>
      <c r="G156" s="60">
        <v>0</v>
      </c>
      <c r="H156" s="60">
        <v>0</v>
      </c>
      <c r="I156" s="60">
        <v>204</v>
      </c>
      <c r="J156" s="60">
        <v>0</v>
      </c>
      <c r="K156" s="60">
        <v>2</v>
      </c>
      <c r="L156" s="60">
        <f t="shared" si="17"/>
        <v>204</v>
      </c>
      <c r="M156" s="84">
        <v>44985</v>
      </c>
      <c r="N156" s="83" t="str">
        <f>VLOOKUP(B156,Hoja1!$B$1:$C$25,2,0)</f>
        <v>EDGAR JAVIER CASTAÑEDA GIL</v>
      </c>
      <c r="O156" s="1" t="e">
        <f t="shared" si="0"/>
        <v>#REF!</v>
      </c>
    </row>
    <row r="157" spans="1:15" ht="15.75" hidden="1" customHeight="1" x14ac:dyDescent="0.25">
      <c r="A157" s="83">
        <v>176</v>
      </c>
      <c r="B157" s="83" t="s">
        <v>387</v>
      </c>
      <c r="C157" s="60"/>
      <c r="D157" s="60">
        <v>273</v>
      </c>
      <c r="E157" s="60">
        <v>150</v>
      </c>
      <c r="F157" s="60">
        <v>273</v>
      </c>
      <c r="G157" s="60">
        <v>0</v>
      </c>
      <c r="H157" s="60">
        <v>150</v>
      </c>
      <c r="I157" s="60">
        <v>846</v>
      </c>
      <c r="J157" s="60">
        <v>0</v>
      </c>
      <c r="K157" s="60">
        <v>1</v>
      </c>
      <c r="L157" s="60">
        <f t="shared" si="17"/>
        <v>846</v>
      </c>
      <c r="M157" s="84">
        <v>45016</v>
      </c>
      <c r="N157" s="83" t="str">
        <f>VLOOKUP(B157,Hoja1!$B$1:$C$25,2,0)</f>
        <v>EDGAR JAVIER CASTAÑEDA GIL</v>
      </c>
      <c r="O157" s="1" t="e">
        <f t="shared" si="0"/>
        <v>#REF!</v>
      </c>
    </row>
    <row r="158" spans="1:15" ht="15.75" hidden="1" customHeight="1" x14ac:dyDescent="0.25">
      <c r="A158" s="83">
        <v>177</v>
      </c>
      <c r="B158" s="83" t="s">
        <v>387</v>
      </c>
      <c r="C158" s="60"/>
      <c r="D158" s="60">
        <v>2</v>
      </c>
      <c r="E158" s="60">
        <v>5</v>
      </c>
      <c r="F158" s="60">
        <v>0</v>
      </c>
      <c r="G158" s="60">
        <v>0</v>
      </c>
      <c r="H158" s="60">
        <v>0</v>
      </c>
      <c r="I158" s="60">
        <v>7</v>
      </c>
      <c r="J158" s="60">
        <v>0</v>
      </c>
      <c r="K158" s="60">
        <v>1</v>
      </c>
      <c r="L158" s="60">
        <f t="shared" si="17"/>
        <v>7</v>
      </c>
      <c r="M158" s="84">
        <v>44985</v>
      </c>
      <c r="N158" s="83" t="str">
        <f>VLOOKUP(B158,Hoja1!$B$1:$C$25,2,0)</f>
        <v>EDGAR JAVIER CASTAÑEDA GIL</v>
      </c>
      <c r="O158" s="1" t="e">
        <f t="shared" si="0"/>
        <v>#REF!</v>
      </c>
    </row>
    <row r="159" spans="1:15" ht="15.75" hidden="1" customHeight="1" x14ac:dyDescent="0.25">
      <c r="A159" s="83">
        <v>178</v>
      </c>
      <c r="B159" s="83" t="s">
        <v>387</v>
      </c>
      <c r="C159" s="60"/>
      <c r="D159" s="60">
        <v>79</v>
      </c>
      <c r="E159" s="60">
        <v>30</v>
      </c>
      <c r="F159" s="60">
        <v>0</v>
      </c>
      <c r="G159" s="60">
        <v>0</v>
      </c>
      <c r="H159" s="60">
        <v>0</v>
      </c>
      <c r="I159" s="60">
        <v>109</v>
      </c>
      <c r="J159" s="60">
        <v>0</v>
      </c>
      <c r="K159" s="60">
        <v>1</v>
      </c>
      <c r="L159" s="60">
        <f t="shared" si="17"/>
        <v>109</v>
      </c>
      <c r="M159" s="84">
        <v>44985</v>
      </c>
      <c r="N159" s="83" t="str">
        <f>VLOOKUP(B159,Hoja1!$B$1:$C$25,2,0)</f>
        <v>EDGAR JAVIER CASTAÑEDA GIL</v>
      </c>
      <c r="O159" s="1" t="e">
        <f t="shared" si="0"/>
        <v>#REF!</v>
      </c>
    </row>
    <row r="160" spans="1:15" ht="15.75" hidden="1" customHeight="1" x14ac:dyDescent="0.25">
      <c r="A160" s="83">
        <v>195</v>
      </c>
      <c r="B160" s="83" t="s">
        <v>387</v>
      </c>
      <c r="C160" s="60"/>
      <c r="D160" s="60">
        <v>89</v>
      </c>
      <c r="E160" s="60">
        <v>14</v>
      </c>
      <c r="F160" s="60">
        <v>0</v>
      </c>
      <c r="G160" s="60">
        <v>0</v>
      </c>
      <c r="H160" s="60">
        <v>0</v>
      </c>
      <c r="I160" s="60">
        <v>103</v>
      </c>
      <c r="J160" s="60">
        <v>0</v>
      </c>
      <c r="K160" s="60">
        <v>3</v>
      </c>
      <c r="L160" s="60">
        <f t="shared" si="17"/>
        <v>103</v>
      </c>
      <c r="M160" s="84">
        <v>44985</v>
      </c>
      <c r="N160" s="83" t="str">
        <f>VLOOKUP(B160,Hoja1!$B$1:$C$25,2,0)</f>
        <v>EDGAR JAVIER CASTAÑEDA GIL</v>
      </c>
      <c r="O160" s="1" t="e">
        <f t="shared" si="0"/>
        <v>#REF!</v>
      </c>
    </row>
    <row r="161" spans="1:15" ht="15.75" hidden="1" customHeight="1" x14ac:dyDescent="0.25">
      <c r="A161" s="83">
        <v>221</v>
      </c>
      <c r="B161" s="83" t="s">
        <v>387</v>
      </c>
      <c r="C161" s="60" t="s">
        <v>45</v>
      </c>
      <c r="D161" s="60">
        <v>66</v>
      </c>
      <c r="E161" s="60">
        <v>9</v>
      </c>
      <c r="F161" s="60">
        <v>0</v>
      </c>
      <c r="G161" s="60">
        <v>0</v>
      </c>
      <c r="H161" s="60">
        <v>0</v>
      </c>
      <c r="I161" s="60">
        <v>75</v>
      </c>
      <c r="J161" s="60">
        <v>0</v>
      </c>
      <c r="K161" s="60">
        <v>0</v>
      </c>
      <c r="L161" s="60">
        <f t="shared" si="17"/>
        <v>75</v>
      </c>
      <c r="M161" s="84">
        <v>44985</v>
      </c>
      <c r="N161" s="83" t="str">
        <f>VLOOKUP(B161,Hoja1!$B$1:$C$25,2,0)</f>
        <v>EDGAR JAVIER CASTAÑEDA GIL</v>
      </c>
      <c r="O161" s="1" t="e">
        <f t="shared" si="0"/>
        <v>#REF!</v>
      </c>
    </row>
    <row r="162" spans="1:15" ht="15.75" hidden="1" customHeight="1" x14ac:dyDescent="0.25">
      <c r="A162" s="83">
        <v>222</v>
      </c>
      <c r="B162" s="83" t="s">
        <v>387</v>
      </c>
      <c r="C162" s="60" t="s">
        <v>45</v>
      </c>
      <c r="D162" s="60">
        <v>13</v>
      </c>
      <c r="E162" s="60">
        <v>38</v>
      </c>
      <c r="F162" s="60">
        <v>0</v>
      </c>
      <c r="G162" s="60">
        <v>0</v>
      </c>
      <c r="H162" s="60">
        <v>0</v>
      </c>
      <c r="I162" s="60">
        <v>51</v>
      </c>
      <c r="J162" s="60">
        <v>0</v>
      </c>
      <c r="K162" s="60">
        <v>0</v>
      </c>
      <c r="L162" s="60">
        <f t="shared" si="17"/>
        <v>51</v>
      </c>
      <c r="M162" s="84">
        <v>44985</v>
      </c>
      <c r="N162" s="83" t="str">
        <f>VLOOKUP(B162,Hoja1!$B$1:$C$25,2,0)</f>
        <v>EDGAR JAVIER CASTAÑEDA GIL</v>
      </c>
      <c r="O162" s="1" t="e">
        <f t="shared" si="0"/>
        <v>#REF!</v>
      </c>
    </row>
    <row r="163" spans="1:15" ht="15.75" hidden="1" customHeight="1" x14ac:dyDescent="0.25">
      <c r="A163" s="83">
        <v>230</v>
      </c>
      <c r="B163" s="83" t="s">
        <v>387</v>
      </c>
      <c r="C163" s="60"/>
      <c r="D163" s="60">
        <v>50</v>
      </c>
      <c r="E163" s="60">
        <v>19</v>
      </c>
      <c r="F163" s="60">
        <v>0</v>
      </c>
      <c r="G163" s="60">
        <v>0</v>
      </c>
      <c r="H163" s="60">
        <v>0</v>
      </c>
      <c r="I163" s="60">
        <v>69</v>
      </c>
      <c r="J163" s="60">
        <v>0</v>
      </c>
      <c r="K163" s="60">
        <v>1</v>
      </c>
      <c r="L163" s="60">
        <f t="shared" si="17"/>
        <v>69</v>
      </c>
      <c r="M163" s="84">
        <v>44985</v>
      </c>
      <c r="N163" s="83" t="str">
        <f>VLOOKUP(B163,Hoja1!$B$1:$C$25,2,0)</f>
        <v>EDGAR JAVIER CASTAÑEDA GIL</v>
      </c>
      <c r="O163" s="1" t="e">
        <f t="shared" si="0"/>
        <v>#REF!</v>
      </c>
    </row>
    <row r="164" spans="1:15" ht="15.75" hidden="1" customHeight="1" x14ac:dyDescent="0.25">
      <c r="A164" s="83">
        <v>245</v>
      </c>
      <c r="B164" s="83" t="s">
        <v>387</v>
      </c>
      <c r="C164" s="60"/>
      <c r="D164" s="60">
        <v>296</v>
      </c>
      <c r="E164" s="60">
        <v>78</v>
      </c>
      <c r="F164" s="60">
        <v>0</v>
      </c>
      <c r="G164" s="60">
        <v>0</v>
      </c>
      <c r="H164" s="60">
        <v>0</v>
      </c>
      <c r="I164" s="60">
        <v>374</v>
      </c>
      <c r="J164" s="60">
        <v>0</v>
      </c>
      <c r="K164" s="60">
        <v>2</v>
      </c>
      <c r="L164" s="60">
        <f t="shared" si="17"/>
        <v>374</v>
      </c>
      <c r="M164" s="84">
        <v>45016</v>
      </c>
      <c r="N164" s="83" t="str">
        <f>VLOOKUP(B164,Hoja1!$B$1:$C$25,2,0)</f>
        <v>EDGAR JAVIER CASTAÑEDA GIL</v>
      </c>
      <c r="O164" s="1" t="e">
        <f t="shared" si="0"/>
        <v>#REF!</v>
      </c>
    </row>
    <row r="165" spans="1:15" ht="15.75" hidden="1" customHeight="1" x14ac:dyDescent="0.25">
      <c r="A165" s="83">
        <v>275</v>
      </c>
      <c r="B165" s="83" t="s">
        <v>387</v>
      </c>
      <c r="C165" s="60"/>
      <c r="D165" s="60">
        <v>283</v>
      </c>
      <c r="E165" s="60">
        <v>156</v>
      </c>
      <c r="F165" s="60">
        <v>0</v>
      </c>
      <c r="G165" s="60">
        <v>0</v>
      </c>
      <c r="H165" s="60">
        <v>0</v>
      </c>
      <c r="I165" s="60">
        <v>439</v>
      </c>
      <c r="J165" s="60">
        <v>0</v>
      </c>
      <c r="K165" s="60">
        <v>3</v>
      </c>
      <c r="L165" s="60">
        <f t="shared" si="17"/>
        <v>439</v>
      </c>
      <c r="M165" s="84">
        <v>45016</v>
      </c>
      <c r="N165" s="83" t="str">
        <f>VLOOKUP(B165,Hoja1!$B$1:$C$25,2,0)</f>
        <v>EDGAR JAVIER CASTAÑEDA GIL</v>
      </c>
      <c r="O165" s="1" t="e">
        <f t="shared" si="0"/>
        <v>#REF!</v>
      </c>
    </row>
    <row r="166" spans="1:15" ht="15.75" hidden="1" customHeight="1" x14ac:dyDescent="0.25">
      <c r="A166" s="83">
        <v>280</v>
      </c>
      <c r="B166" s="83" t="s">
        <v>387</v>
      </c>
      <c r="C166" s="60"/>
      <c r="D166" s="60">
        <v>1</v>
      </c>
      <c r="E166" s="60">
        <v>15</v>
      </c>
      <c r="F166" s="60">
        <v>0</v>
      </c>
      <c r="G166" s="60">
        <v>0</v>
      </c>
      <c r="H166" s="60">
        <v>0</v>
      </c>
      <c r="I166" s="60">
        <v>16</v>
      </c>
      <c r="J166" s="60">
        <v>0</v>
      </c>
      <c r="K166" s="60">
        <v>1</v>
      </c>
      <c r="L166" s="60">
        <f t="shared" si="17"/>
        <v>16</v>
      </c>
      <c r="M166" s="84">
        <v>44985</v>
      </c>
      <c r="N166" s="83" t="str">
        <f>VLOOKUP(B166,Hoja1!$B$1:$C$25,2,0)</f>
        <v>EDGAR JAVIER CASTAÑEDA GIL</v>
      </c>
      <c r="O166" s="1" t="e">
        <f t="shared" si="0"/>
        <v>#REF!</v>
      </c>
    </row>
    <row r="167" spans="1:15" ht="15.75" hidden="1" customHeight="1" x14ac:dyDescent="0.25">
      <c r="A167" s="83">
        <v>311</v>
      </c>
      <c r="B167" s="83" t="s">
        <v>387</v>
      </c>
      <c r="C167" s="60" t="s">
        <v>45</v>
      </c>
      <c r="D167" s="60" t="e">
        <v>#N/A</v>
      </c>
      <c r="E167" s="60" t="e">
        <v>#N/A</v>
      </c>
      <c r="F167" s="60">
        <v>0</v>
      </c>
      <c r="G167" s="60">
        <v>0</v>
      </c>
      <c r="H167" s="60">
        <v>0</v>
      </c>
      <c r="I167" s="60" t="e">
        <v>#N/A</v>
      </c>
      <c r="J167" s="60">
        <v>0</v>
      </c>
      <c r="K167" s="60">
        <v>0</v>
      </c>
      <c r="L167" s="60" t="s">
        <v>18</v>
      </c>
      <c r="M167" s="60"/>
      <c r="N167" s="83" t="str">
        <f>VLOOKUP(B167,Hoja1!$B$1:$C$25,2,0)</f>
        <v>EDGAR JAVIER CASTAÑEDA GIL</v>
      </c>
      <c r="O167" s="1" t="e">
        <f t="shared" si="0"/>
        <v>#REF!</v>
      </c>
    </row>
    <row r="168" spans="1:15" ht="15.75" hidden="1" customHeight="1" x14ac:dyDescent="0.25">
      <c r="A168" s="83" t="s">
        <v>388</v>
      </c>
      <c r="B168" s="83" t="s">
        <v>387</v>
      </c>
      <c r="C168" s="60"/>
      <c r="D168" s="60">
        <v>212</v>
      </c>
      <c r="E168" s="60">
        <v>185</v>
      </c>
      <c r="F168" s="60">
        <v>0</v>
      </c>
      <c r="G168" s="60">
        <v>0</v>
      </c>
      <c r="H168" s="60">
        <v>0</v>
      </c>
      <c r="I168" s="60">
        <v>397</v>
      </c>
      <c r="J168" s="60">
        <v>0</v>
      </c>
      <c r="K168" s="60">
        <v>0</v>
      </c>
      <c r="L168" s="60">
        <f t="shared" ref="L168:L170" si="18">I168-J168</f>
        <v>397</v>
      </c>
      <c r="M168" s="84">
        <v>45046</v>
      </c>
      <c r="N168" s="83" t="str">
        <f>VLOOKUP(B168,Hoja1!$B$1:$C$25,2,0)</f>
        <v>EDGAR JAVIER CASTAÑEDA GIL</v>
      </c>
      <c r="O168" s="1" t="e">
        <f t="shared" si="0"/>
        <v>#REF!</v>
      </c>
    </row>
    <row r="169" spans="1:15" ht="15.75" hidden="1" customHeight="1" x14ac:dyDescent="0.25">
      <c r="A169" s="83" t="s">
        <v>389</v>
      </c>
      <c r="B169" s="83" t="s">
        <v>387</v>
      </c>
      <c r="C169" s="60"/>
      <c r="D169" s="60">
        <v>0</v>
      </c>
      <c r="E169" s="60">
        <v>0</v>
      </c>
      <c r="F169" s="60">
        <v>0</v>
      </c>
      <c r="G169" s="60">
        <v>0</v>
      </c>
      <c r="H169" s="60">
        <v>0</v>
      </c>
      <c r="I169" s="60">
        <v>0</v>
      </c>
      <c r="J169" s="60">
        <v>0</v>
      </c>
      <c r="K169" s="60">
        <v>0</v>
      </c>
      <c r="L169" s="60">
        <f t="shared" si="18"/>
        <v>0</v>
      </c>
      <c r="M169" s="60"/>
      <c r="N169" s="83" t="str">
        <f>VLOOKUP(B169,Hoja1!$B$1:$C$25,2,0)</f>
        <v>EDGAR JAVIER CASTAÑEDA GIL</v>
      </c>
      <c r="O169" s="1" t="e">
        <f t="shared" si="0"/>
        <v>#REF!</v>
      </c>
    </row>
    <row r="170" spans="1:15" ht="15.75" hidden="1" customHeight="1" x14ac:dyDescent="0.25">
      <c r="A170" s="83" t="s">
        <v>390</v>
      </c>
      <c r="B170" s="83" t="s">
        <v>387</v>
      </c>
      <c r="C170" s="60"/>
      <c r="D170" s="60">
        <v>0</v>
      </c>
      <c r="E170" s="60">
        <v>0</v>
      </c>
      <c r="F170" s="60">
        <v>0</v>
      </c>
      <c r="G170" s="60">
        <v>0</v>
      </c>
      <c r="H170" s="60">
        <v>0</v>
      </c>
      <c r="I170" s="60">
        <v>0</v>
      </c>
      <c r="J170" s="60">
        <v>0</v>
      </c>
      <c r="K170" s="60">
        <v>0</v>
      </c>
      <c r="L170" s="60">
        <f t="shared" si="18"/>
        <v>0</v>
      </c>
      <c r="M170" s="60"/>
      <c r="N170" s="83" t="str">
        <f>VLOOKUP(B170,Hoja1!$B$1:$C$25,2,0)</f>
        <v>EDGAR JAVIER CASTAÑEDA GIL</v>
      </c>
      <c r="O170" s="1" t="e">
        <f t="shared" si="0"/>
        <v>#REF!</v>
      </c>
    </row>
    <row r="171" spans="1:15" ht="15.75" hidden="1" customHeight="1" x14ac:dyDescent="0.25">
      <c r="A171" s="83" t="s">
        <v>391</v>
      </c>
      <c r="B171" s="83" t="s">
        <v>387</v>
      </c>
      <c r="C171" s="60"/>
      <c r="D171" s="60" t="e">
        <v>#N/A</v>
      </c>
      <c r="E171" s="60" t="e">
        <v>#N/A</v>
      </c>
      <c r="F171" s="60">
        <v>0</v>
      </c>
      <c r="G171" s="60">
        <v>0</v>
      </c>
      <c r="H171" s="60">
        <v>0</v>
      </c>
      <c r="I171" s="60" t="e">
        <v>#N/A</v>
      </c>
      <c r="J171" s="60">
        <v>0</v>
      </c>
      <c r="K171" s="60">
        <v>0</v>
      </c>
      <c r="L171" s="60" t="s">
        <v>18</v>
      </c>
      <c r="M171" s="60"/>
      <c r="N171" s="83" t="str">
        <f>VLOOKUP(B171,Hoja1!$B$1:$C$25,2,0)</f>
        <v>EDGAR JAVIER CASTAÑEDA GIL</v>
      </c>
      <c r="O171" s="1" t="e">
        <f t="shared" si="0"/>
        <v>#REF!</v>
      </c>
    </row>
    <row r="172" spans="1:15" ht="15.75" hidden="1" customHeight="1" x14ac:dyDescent="0.25">
      <c r="A172" s="83" t="s">
        <v>392</v>
      </c>
      <c r="B172" s="83" t="s">
        <v>387</v>
      </c>
      <c r="C172" s="60"/>
      <c r="D172" s="60" t="e">
        <v>#N/A</v>
      </c>
      <c r="E172" s="60" t="e">
        <v>#N/A</v>
      </c>
      <c r="F172" s="60">
        <v>0</v>
      </c>
      <c r="G172" s="60">
        <v>0</v>
      </c>
      <c r="H172" s="60">
        <v>0</v>
      </c>
      <c r="I172" s="60" t="e">
        <v>#N/A</v>
      </c>
      <c r="J172" s="60">
        <v>0</v>
      </c>
      <c r="K172" s="60">
        <v>0</v>
      </c>
      <c r="L172" s="60" t="s">
        <v>18</v>
      </c>
      <c r="M172" s="60"/>
      <c r="N172" s="83" t="str">
        <f>VLOOKUP(B172,Hoja1!$B$1:$C$25,2,0)</f>
        <v>EDGAR JAVIER CASTAÑEDA GIL</v>
      </c>
      <c r="O172" s="1" t="e">
        <f t="shared" si="0"/>
        <v>#REF!</v>
      </c>
    </row>
    <row r="173" spans="1:15" ht="15.75" hidden="1" customHeight="1" x14ac:dyDescent="0.25">
      <c r="A173" s="83">
        <v>31</v>
      </c>
      <c r="B173" s="54" t="s">
        <v>370</v>
      </c>
      <c r="C173" s="60" t="s">
        <v>82</v>
      </c>
      <c r="D173" s="60">
        <v>10</v>
      </c>
      <c r="E173" s="60">
        <v>21</v>
      </c>
      <c r="F173" s="60">
        <v>0</v>
      </c>
      <c r="G173" s="60">
        <v>0</v>
      </c>
      <c r="H173" s="60">
        <v>0</v>
      </c>
      <c r="I173" s="60">
        <v>31</v>
      </c>
      <c r="J173" s="60">
        <v>0</v>
      </c>
      <c r="K173" s="60">
        <v>2</v>
      </c>
      <c r="L173" s="60">
        <f t="shared" ref="L173:L180" si="19">I173-J173</f>
        <v>31</v>
      </c>
      <c r="M173" s="84">
        <v>44985</v>
      </c>
      <c r="N173" s="83" t="str">
        <f>VLOOKUP(B173,Hoja1!$B$1:$C$25,2,0)</f>
        <v>LEONARDO PINZON URIBE</v>
      </c>
      <c r="O173" s="1" t="e">
        <f t="shared" si="0"/>
        <v>#REF!</v>
      </c>
    </row>
    <row r="174" spans="1:15" ht="15.75" hidden="1" customHeight="1" x14ac:dyDescent="0.25">
      <c r="A174" s="83">
        <v>35</v>
      </c>
      <c r="B174" s="54" t="s">
        <v>370</v>
      </c>
      <c r="C174" s="60" t="s">
        <v>82</v>
      </c>
      <c r="D174" s="60">
        <v>403</v>
      </c>
      <c r="E174" s="60">
        <v>122</v>
      </c>
      <c r="F174" s="60">
        <v>0</v>
      </c>
      <c r="G174" s="60">
        <v>0</v>
      </c>
      <c r="H174" s="60">
        <v>0</v>
      </c>
      <c r="I174" s="60">
        <v>525</v>
      </c>
      <c r="J174" s="60">
        <v>131</v>
      </c>
      <c r="K174" s="60">
        <v>3</v>
      </c>
      <c r="L174" s="60">
        <f t="shared" si="19"/>
        <v>394</v>
      </c>
      <c r="M174" s="84">
        <v>45000</v>
      </c>
      <c r="N174" s="83" t="str">
        <f>VLOOKUP(B174,Hoja1!$B$1:$C$25,2,0)</f>
        <v>LEONARDO PINZON URIBE</v>
      </c>
      <c r="O174" s="1" t="e">
        <f t="shared" si="0"/>
        <v>#REF!</v>
      </c>
    </row>
    <row r="175" spans="1:15" ht="15.75" hidden="1" customHeight="1" x14ac:dyDescent="0.25">
      <c r="A175" s="83">
        <v>37</v>
      </c>
      <c r="B175" s="54" t="s">
        <v>370</v>
      </c>
      <c r="C175" s="60" t="s">
        <v>82</v>
      </c>
      <c r="D175" s="60">
        <v>131</v>
      </c>
      <c r="E175" s="60">
        <v>158</v>
      </c>
      <c r="F175" s="60">
        <v>0</v>
      </c>
      <c r="G175" s="60">
        <v>0</v>
      </c>
      <c r="H175" s="60">
        <v>0</v>
      </c>
      <c r="I175" s="60">
        <v>289</v>
      </c>
      <c r="J175" s="60">
        <v>52</v>
      </c>
      <c r="K175" s="60">
        <v>2</v>
      </c>
      <c r="L175" s="60">
        <f t="shared" si="19"/>
        <v>237</v>
      </c>
      <c r="M175" s="84">
        <v>45000</v>
      </c>
      <c r="N175" s="83" t="str">
        <f>VLOOKUP(B175,Hoja1!$B$1:$C$25,2,0)</f>
        <v>LEONARDO PINZON URIBE</v>
      </c>
      <c r="O175" s="1" t="e">
        <f t="shared" si="0"/>
        <v>#REF!</v>
      </c>
    </row>
    <row r="176" spans="1:15" ht="15.75" hidden="1" customHeight="1" x14ac:dyDescent="0.25">
      <c r="A176" s="83">
        <v>41</v>
      </c>
      <c r="B176" s="54" t="s">
        <v>370</v>
      </c>
      <c r="C176" s="60" t="s">
        <v>82</v>
      </c>
      <c r="D176" s="60">
        <v>161</v>
      </c>
      <c r="E176" s="60">
        <v>191</v>
      </c>
      <c r="F176" s="60">
        <v>0</v>
      </c>
      <c r="G176" s="60">
        <v>0</v>
      </c>
      <c r="H176" s="60">
        <v>0</v>
      </c>
      <c r="I176" s="60">
        <v>352</v>
      </c>
      <c r="J176" s="60">
        <v>96</v>
      </c>
      <c r="K176" s="60">
        <v>4</v>
      </c>
      <c r="L176" s="60">
        <f t="shared" si="19"/>
        <v>256</v>
      </c>
      <c r="M176" s="84">
        <v>45000</v>
      </c>
      <c r="N176" s="83" t="str">
        <f>VLOOKUP(B176,Hoja1!$B$1:$C$25,2,0)</f>
        <v>LEONARDO PINZON URIBE</v>
      </c>
      <c r="O176" s="1" t="e">
        <f t="shared" si="0"/>
        <v>#REF!</v>
      </c>
    </row>
    <row r="177" spans="1:15" ht="15.75" hidden="1" customHeight="1" x14ac:dyDescent="0.25">
      <c r="A177" s="83">
        <v>42</v>
      </c>
      <c r="B177" s="54" t="s">
        <v>370</v>
      </c>
      <c r="C177" s="60" t="s">
        <v>82</v>
      </c>
      <c r="D177" s="60">
        <v>538</v>
      </c>
      <c r="E177" s="60">
        <v>109</v>
      </c>
      <c r="F177" s="60">
        <v>1420</v>
      </c>
      <c r="G177" s="60">
        <v>0</v>
      </c>
      <c r="H177" s="60">
        <v>170</v>
      </c>
      <c r="I177" s="60">
        <v>2237</v>
      </c>
      <c r="J177" s="60">
        <v>0</v>
      </c>
      <c r="K177" s="60">
        <v>4</v>
      </c>
      <c r="L177" s="60">
        <f t="shared" si="19"/>
        <v>2237</v>
      </c>
      <c r="M177" s="84">
        <v>45046</v>
      </c>
      <c r="N177" s="83" t="str">
        <f>VLOOKUP(B177,Hoja1!$B$1:$C$25,2,0)</f>
        <v>LEONARDO PINZON URIBE</v>
      </c>
      <c r="O177" s="1" t="e">
        <f t="shared" si="0"/>
        <v>#REF!</v>
      </c>
    </row>
    <row r="178" spans="1:15" ht="15.75" hidden="1" customHeight="1" x14ac:dyDescent="0.25">
      <c r="A178" s="83">
        <v>89</v>
      </c>
      <c r="B178" s="54" t="s">
        <v>370</v>
      </c>
      <c r="C178" s="60" t="s">
        <v>82</v>
      </c>
      <c r="D178" s="60">
        <v>256</v>
      </c>
      <c r="E178" s="60">
        <v>14</v>
      </c>
      <c r="F178" s="60">
        <v>270</v>
      </c>
      <c r="G178" s="60">
        <v>280</v>
      </c>
      <c r="H178" s="60">
        <v>0</v>
      </c>
      <c r="I178" s="60">
        <v>820</v>
      </c>
      <c r="J178" s="60">
        <v>42</v>
      </c>
      <c r="K178" s="60">
        <v>4</v>
      </c>
      <c r="L178" s="60">
        <f t="shared" si="19"/>
        <v>778</v>
      </c>
      <c r="M178" s="84">
        <v>45000</v>
      </c>
      <c r="N178" s="83" t="str">
        <f>VLOOKUP(B178,Hoja1!$B$1:$C$25,2,0)</f>
        <v>LEONARDO PINZON URIBE</v>
      </c>
      <c r="O178" s="1" t="e">
        <f t="shared" si="0"/>
        <v>#REF!</v>
      </c>
    </row>
    <row r="179" spans="1:15" ht="15.75" hidden="1" customHeight="1" x14ac:dyDescent="0.25">
      <c r="A179" s="83">
        <v>184</v>
      </c>
      <c r="B179" s="54" t="s">
        <v>370</v>
      </c>
      <c r="C179" s="60" t="s">
        <v>45</v>
      </c>
      <c r="D179" s="60">
        <v>27</v>
      </c>
      <c r="E179" s="60">
        <v>53</v>
      </c>
      <c r="F179" s="60">
        <v>0</v>
      </c>
      <c r="G179" s="60">
        <v>0</v>
      </c>
      <c r="H179" s="60">
        <v>0</v>
      </c>
      <c r="I179" s="60">
        <v>80</v>
      </c>
      <c r="J179" s="60">
        <v>0</v>
      </c>
      <c r="K179" s="60">
        <v>0</v>
      </c>
      <c r="L179" s="60">
        <f t="shared" si="19"/>
        <v>80</v>
      </c>
      <c r="M179" s="84">
        <v>44985</v>
      </c>
      <c r="N179" s="83" t="str">
        <f>VLOOKUP(B179,Hoja1!$B$1:$C$25,2,0)</f>
        <v>LEONARDO PINZON URIBE</v>
      </c>
      <c r="O179" s="1" t="e">
        <f t="shared" si="0"/>
        <v>#REF!</v>
      </c>
    </row>
    <row r="180" spans="1:15" ht="15.75" hidden="1" customHeight="1" x14ac:dyDescent="0.25">
      <c r="A180" s="83">
        <v>196</v>
      </c>
      <c r="B180" s="54" t="s">
        <v>370</v>
      </c>
      <c r="C180" s="60" t="s">
        <v>82</v>
      </c>
      <c r="D180" s="60">
        <v>395</v>
      </c>
      <c r="E180" s="60">
        <v>80</v>
      </c>
      <c r="F180" s="60">
        <v>0</v>
      </c>
      <c r="G180" s="60">
        <v>0</v>
      </c>
      <c r="H180" s="60">
        <v>0</v>
      </c>
      <c r="I180" s="60">
        <v>475</v>
      </c>
      <c r="J180" s="60">
        <v>275</v>
      </c>
      <c r="K180" s="60">
        <v>4</v>
      </c>
      <c r="L180" s="60">
        <f t="shared" si="19"/>
        <v>200</v>
      </c>
      <c r="M180" s="84">
        <v>44985</v>
      </c>
      <c r="N180" s="83" t="str">
        <f>VLOOKUP(B180,Hoja1!$B$1:$C$25,2,0)</f>
        <v>LEONARDO PINZON URIBE</v>
      </c>
      <c r="O180" s="1" t="e">
        <f t="shared" si="0"/>
        <v>#REF!</v>
      </c>
    </row>
    <row r="181" spans="1:15" ht="15.75" hidden="1" customHeight="1" x14ac:dyDescent="0.25">
      <c r="A181" s="83">
        <v>305</v>
      </c>
      <c r="B181" s="54" t="s">
        <v>370</v>
      </c>
      <c r="C181" s="60" t="s">
        <v>45</v>
      </c>
      <c r="D181" s="60" t="e">
        <v>#N/A</v>
      </c>
      <c r="E181" s="60" t="e">
        <v>#N/A</v>
      </c>
      <c r="F181" s="60">
        <v>0</v>
      </c>
      <c r="G181" s="60">
        <v>0</v>
      </c>
      <c r="H181" s="60">
        <v>0</v>
      </c>
      <c r="I181" s="60" t="e">
        <v>#N/A</v>
      </c>
      <c r="J181" s="60">
        <v>0</v>
      </c>
      <c r="K181" s="60">
        <v>0</v>
      </c>
      <c r="L181" s="60" t="s">
        <v>18</v>
      </c>
      <c r="M181" s="60"/>
      <c r="N181" s="83" t="str">
        <f>VLOOKUP(B181,Hoja1!$B$1:$C$25,2,0)</f>
        <v>LEONARDO PINZON URIBE</v>
      </c>
      <c r="O181" s="1" t="e">
        <f t="shared" si="0"/>
        <v>#REF!</v>
      </c>
    </row>
    <row r="182" spans="1:15" ht="15.75" hidden="1" customHeight="1" x14ac:dyDescent="0.25">
      <c r="A182" s="83">
        <v>43</v>
      </c>
      <c r="B182" s="83" t="s">
        <v>393</v>
      </c>
      <c r="C182" s="60" t="s">
        <v>82</v>
      </c>
      <c r="D182" s="60">
        <v>5</v>
      </c>
      <c r="E182" s="60">
        <v>5</v>
      </c>
      <c r="F182" s="60">
        <v>0</v>
      </c>
      <c r="G182" s="60">
        <v>4</v>
      </c>
      <c r="H182" s="60">
        <v>1</v>
      </c>
      <c r="I182" s="60">
        <v>15</v>
      </c>
      <c r="J182" s="60">
        <v>12</v>
      </c>
      <c r="K182" s="60">
        <v>1</v>
      </c>
      <c r="L182" s="60" t="s">
        <v>18</v>
      </c>
      <c r="M182" s="60"/>
      <c r="N182" s="83" t="str">
        <f>VLOOKUP(B182,Hoja1!$B$1:$C$25,2,0)</f>
        <v>LUISA FERNANDA MEJIA CORREA</v>
      </c>
      <c r="O182" s="1" t="e">
        <f t="shared" si="0"/>
        <v>#REF!</v>
      </c>
    </row>
    <row r="183" spans="1:15" ht="15.75" hidden="1" customHeight="1" x14ac:dyDescent="0.25">
      <c r="A183" s="83">
        <v>44</v>
      </c>
      <c r="B183" s="83" t="s">
        <v>393</v>
      </c>
      <c r="C183" s="60" t="s">
        <v>82</v>
      </c>
      <c r="D183" s="60">
        <v>43</v>
      </c>
      <c r="E183" s="60">
        <v>45</v>
      </c>
      <c r="F183" s="60">
        <v>0</v>
      </c>
      <c r="G183" s="60">
        <v>47</v>
      </c>
      <c r="H183" s="60">
        <v>25</v>
      </c>
      <c r="I183" s="60">
        <v>160</v>
      </c>
      <c r="J183" s="60">
        <v>20</v>
      </c>
      <c r="K183" s="60">
        <v>1</v>
      </c>
      <c r="L183" s="60" t="s">
        <v>18</v>
      </c>
      <c r="M183" s="60"/>
      <c r="N183" s="83" t="str">
        <f>VLOOKUP(B183,Hoja1!$B$1:$C$25,2,0)</f>
        <v>LUISA FERNANDA MEJIA CORREA</v>
      </c>
      <c r="O183" s="1" t="e">
        <f t="shared" si="0"/>
        <v>#REF!</v>
      </c>
    </row>
    <row r="184" spans="1:15" ht="15.75" hidden="1" customHeight="1" x14ac:dyDescent="0.25">
      <c r="A184" s="83">
        <v>45</v>
      </c>
      <c r="B184" s="83" t="s">
        <v>393</v>
      </c>
      <c r="C184" s="60" t="s">
        <v>45</v>
      </c>
      <c r="D184" s="60">
        <v>30</v>
      </c>
      <c r="E184" s="60">
        <v>30</v>
      </c>
      <c r="F184" s="60">
        <v>0</v>
      </c>
      <c r="G184" s="60">
        <v>44</v>
      </c>
      <c r="H184" s="60">
        <v>15</v>
      </c>
      <c r="I184" s="60">
        <v>119</v>
      </c>
      <c r="J184" s="60">
        <v>0</v>
      </c>
      <c r="K184" s="60">
        <v>0</v>
      </c>
      <c r="L184" s="60">
        <v>1</v>
      </c>
      <c r="M184" s="60"/>
      <c r="N184" s="83" t="str">
        <f>VLOOKUP(B184,Hoja1!$B$1:$C$25,2,0)</f>
        <v>LUISA FERNANDA MEJIA CORREA</v>
      </c>
      <c r="O184" s="1" t="e">
        <f t="shared" si="0"/>
        <v>#REF!</v>
      </c>
    </row>
    <row r="185" spans="1:15" ht="15.75" hidden="1" customHeight="1" x14ac:dyDescent="0.25">
      <c r="A185" s="83">
        <v>46</v>
      </c>
      <c r="B185" s="83" t="s">
        <v>393</v>
      </c>
      <c r="C185" s="60" t="s">
        <v>82</v>
      </c>
      <c r="D185" s="60">
        <v>350</v>
      </c>
      <c r="E185" s="60">
        <v>350</v>
      </c>
      <c r="F185" s="60">
        <v>0</v>
      </c>
      <c r="G185" s="60">
        <v>313</v>
      </c>
      <c r="H185" s="60">
        <v>30</v>
      </c>
      <c r="I185" s="60">
        <v>1043</v>
      </c>
      <c r="J185" s="60">
        <v>342</v>
      </c>
      <c r="K185" s="60">
        <v>4</v>
      </c>
      <c r="L185" s="60" t="s">
        <v>18</v>
      </c>
      <c r="M185" s="60"/>
      <c r="N185" s="83" t="str">
        <f>VLOOKUP(B185,Hoja1!$B$1:$C$25,2,0)</f>
        <v>LUISA FERNANDA MEJIA CORREA</v>
      </c>
      <c r="O185" s="1" t="e">
        <f t="shared" si="0"/>
        <v>#REF!</v>
      </c>
    </row>
    <row r="186" spans="1:15" ht="15.75" hidden="1" customHeight="1" x14ac:dyDescent="0.25">
      <c r="A186" s="83">
        <v>47</v>
      </c>
      <c r="B186" s="83" t="s">
        <v>393</v>
      </c>
      <c r="C186" s="60" t="s">
        <v>82</v>
      </c>
      <c r="D186" s="60">
        <v>350</v>
      </c>
      <c r="E186" s="60">
        <v>400</v>
      </c>
      <c r="F186" s="60">
        <v>0</v>
      </c>
      <c r="G186" s="60">
        <v>543</v>
      </c>
      <c r="H186" s="60">
        <v>105</v>
      </c>
      <c r="I186" s="60">
        <v>1398</v>
      </c>
      <c r="J186" s="60">
        <v>705</v>
      </c>
      <c r="K186" s="60">
        <v>4</v>
      </c>
      <c r="L186" s="60" t="s">
        <v>18</v>
      </c>
      <c r="M186" s="60"/>
      <c r="N186" s="83" t="str">
        <f>VLOOKUP(B186,Hoja1!$B$1:$C$25,2,0)</f>
        <v>LUISA FERNANDA MEJIA CORREA</v>
      </c>
      <c r="O186" s="1" t="e">
        <f t="shared" si="0"/>
        <v>#REF!</v>
      </c>
    </row>
    <row r="187" spans="1:15" ht="15.75" hidden="1" customHeight="1" x14ac:dyDescent="0.25">
      <c r="A187" s="83">
        <v>48</v>
      </c>
      <c r="B187" s="83" t="s">
        <v>393</v>
      </c>
      <c r="C187" s="60" t="s">
        <v>45</v>
      </c>
      <c r="D187" s="60">
        <v>32</v>
      </c>
      <c r="E187" s="60">
        <v>30</v>
      </c>
      <c r="F187" s="60">
        <v>0</v>
      </c>
      <c r="G187" s="60">
        <v>60</v>
      </c>
      <c r="H187" s="60">
        <v>0</v>
      </c>
      <c r="I187" s="60">
        <v>122</v>
      </c>
      <c r="J187" s="60">
        <v>0</v>
      </c>
      <c r="K187" s="60">
        <v>0</v>
      </c>
      <c r="L187" s="60">
        <v>1</v>
      </c>
      <c r="M187" s="60"/>
      <c r="N187" s="83" t="str">
        <f>VLOOKUP(B187,Hoja1!$B$1:$C$25,2,0)</f>
        <v>LUISA FERNANDA MEJIA CORREA</v>
      </c>
      <c r="O187" s="1" t="e">
        <f t="shared" si="0"/>
        <v>#REF!</v>
      </c>
    </row>
    <row r="188" spans="1:15" ht="15.75" hidden="1" customHeight="1" x14ac:dyDescent="0.25">
      <c r="A188" s="83">
        <v>49</v>
      </c>
      <c r="B188" s="83" t="s">
        <v>393</v>
      </c>
      <c r="C188" s="60" t="s">
        <v>82</v>
      </c>
      <c r="D188" s="60">
        <v>100</v>
      </c>
      <c r="E188" s="60">
        <v>90</v>
      </c>
      <c r="F188" s="60">
        <v>0</v>
      </c>
      <c r="G188" s="60">
        <v>181</v>
      </c>
      <c r="H188" s="60">
        <v>0</v>
      </c>
      <c r="I188" s="60">
        <v>371</v>
      </c>
      <c r="J188" s="60">
        <v>177</v>
      </c>
      <c r="K188" s="60">
        <v>1</v>
      </c>
      <c r="L188" s="60" t="s">
        <v>18</v>
      </c>
      <c r="M188" s="60"/>
      <c r="N188" s="83" t="str">
        <f>VLOOKUP(B188,Hoja1!$B$1:$C$25,2,0)</f>
        <v>LUISA FERNANDA MEJIA CORREA</v>
      </c>
      <c r="O188" s="1" t="e">
        <f t="shared" si="0"/>
        <v>#REF!</v>
      </c>
    </row>
    <row r="189" spans="1:15" ht="15.75" hidden="1" customHeight="1" x14ac:dyDescent="0.25">
      <c r="A189" s="83">
        <v>111</v>
      </c>
      <c r="B189" s="83" t="s">
        <v>393</v>
      </c>
      <c r="C189" s="60" t="s">
        <v>82</v>
      </c>
      <c r="D189" s="60">
        <v>313</v>
      </c>
      <c r="E189" s="60">
        <v>300</v>
      </c>
      <c r="F189" s="60">
        <v>0</v>
      </c>
      <c r="G189" s="60">
        <v>286</v>
      </c>
      <c r="H189" s="60">
        <v>60</v>
      </c>
      <c r="I189" s="60">
        <v>959</v>
      </c>
      <c r="J189" s="60">
        <v>454</v>
      </c>
      <c r="K189" s="60">
        <v>3</v>
      </c>
      <c r="L189" s="60" t="s">
        <v>18</v>
      </c>
      <c r="M189" s="60"/>
      <c r="N189" s="83" t="str">
        <f>VLOOKUP(B189,Hoja1!$B$1:$C$25,2,0)</f>
        <v>LUISA FERNANDA MEJIA CORREA</v>
      </c>
      <c r="O189" s="1" t="e">
        <f t="shared" si="0"/>
        <v>#REF!</v>
      </c>
    </row>
    <row r="190" spans="1:15" ht="15.75" hidden="1" customHeight="1" x14ac:dyDescent="0.25">
      <c r="A190" s="83">
        <v>112</v>
      </c>
      <c r="B190" s="83" t="s">
        <v>393</v>
      </c>
      <c r="C190" s="60" t="s">
        <v>82</v>
      </c>
      <c r="D190" s="60">
        <v>48</v>
      </c>
      <c r="E190" s="60">
        <v>28</v>
      </c>
      <c r="F190" s="60">
        <v>0</v>
      </c>
      <c r="G190" s="60">
        <v>13</v>
      </c>
      <c r="H190" s="60">
        <v>0</v>
      </c>
      <c r="I190" s="60">
        <v>89</v>
      </c>
      <c r="J190" s="60">
        <v>35</v>
      </c>
      <c r="K190" s="60">
        <v>1</v>
      </c>
      <c r="L190" s="60" t="s">
        <v>18</v>
      </c>
      <c r="M190" s="60"/>
      <c r="N190" s="83" t="str">
        <f>VLOOKUP(B190,Hoja1!$B$1:$C$25,2,0)</f>
        <v>LUISA FERNANDA MEJIA CORREA</v>
      </c>
      <c r="O190" s="1" t="e">
        <f t="shared" si="0"/>
        <v>#REF!</v>
      </c>
    </row>
    <row r="191" spans="1:15" ht="15.75" hidden="1" customHeight="1" x14ac:dyDescent="0.25">
      <c r="A191" s="83">
        <v>250</v>
      </c>
      <c r="B191" s="83" t="s">
        <v>393</v>
      </c>
      <c r="C191" s="60" t="s">
        <v>82</v>
      </c>
      <c r="D191" s="60">
        <v>27</v>
      </c>
      <c r="E191" s="60">
        <v>17</v>
      </c>
      <c r="F191" s="60">
        <v>0</v>
      </c>
      <c r="G191" s="60">
        <v>19</v>
      </c>
      <c r="H191" s="60">
        <v>35</v>
      </c>
      <c r="I191" s="60">
        <v>98</v>
      </c>
      <c r="J191" s="60">
        <v>57</v>
      </c>
      <c r="K191" s="60">
        <v>1</v>
      </c>
      <c r="L191" s="60" t="s">
        <v>18</v>
      </c>
      <c r="M191" s="60"/>
      <c r="N191" s="83" t="str">
        <f>VLOOKUP(B191,Hoja1!$B$1:$C$25,2,0)</f>
        <v>LUISA FERNANDA MEJIA CORREA</v>
      </c>
      <c r="O191" s="1" t="e">
        <f t="shared" si="0"/>
        <v>#REF!</v>
      </c>
    </row>
    <row r="192" spans="1:15" ht="15.75" hidden="1" customHeight="1" x14ac:dyDescent="0.25">
      <c r="A192" s="83">
        <v>309</v>
      </c>
      <c r="B192" s="83" t="s">
        <v>393</v>
      </c>
      <c r="C192" s="60" t="s">
        <v>45</v>
      </c>
      <c r="D192" s="60">
        <v>0</v>
      </c>
      <c r="E192" s="60">
        <v>0</v>
      </c>
      <c r="F192" s="60">
        <v>0</v>
      </c>
      <c r="G192" s="60">
        <v>0</v>
      </c>
      <c r="H192" s="60">
        <v>0</v>
      </c>
      <c r="I192" s="60">
        <v>0</v>
      </c>
      <c r="J192" s="60">
        <v>0</v>
      </c>
      <c r="K192" s="60">
        <v>0</v>
      </c>
      <c r="L192" s="60">
        <v>0</v>
      </c>
      <c r="M192" s="60"/>
      <c r="N192" s="83" t="str">
        <f>VLOOKUP(B192,Hoja1!$B$1:$C$25,2,0)</f>
        <v>LUISA FERNANDA MEJIA CORREA</v>
      </c>
      <c r="O192" s="1" t="e">
        <f t="shared" si="0"/>
        <v>#REF!</v>
      </c>
    </row>
    <row r="193" spans="1:15" ht="15.75" hidden="1" customHeight="1" x14ac:dyDescent="0.25">
      <c r="A193" s="83" t="s">
        <v>394</v>
      </c>
      <c r="B193" s="83" t="s">
        <v>393</v>
      </c>
      <c r="C193" s="60" t="s">
        <v>82</v>
      </c>
      <c r="D193" s="60">
        <v>168</v>
      </c>
      <c r="E193" s="60">
        <v>163</v>
      </c>
      <c r="F193" s="60">
        <v>0</v>
      </c>
      <c r="G193" s="60">
        <v>318</v>
      </c>
      <c r="H193" s="60">
        <v>16</v>
      </c>
      <c r="I193" s="60">
        <v>665</v>
      </c>
      <c r="J193" s="60">
        <v>121</v>
      </c>
      <c r="K193" s="60">
        <v>2</v>
      </c>
      <c r="L193" s="60" t="s">
        <v>18</v>
      </c>
      <c r="M193" s="60"/>
      <c r="N193" s="83" t="str">
        <f>VLOOKUP(B193,Hoja1!$B$1:$C$25,2,0)</f>
        <v>LUISA FERNANDA MEJIA CORREA</v>
      </c>
      <c r="O193" s="1" t="e">
        <f t="shared" si="0"/>
        <v>#REF!</v>
      </c>
    </row>
    <row r="194" spans="1:15" ht="15.75" hidden="1" customHeight="1" x14ac:dyDescent="0.25">
      <c r="A194" s="83" t="s">
        <v>395</v>
      </c>
      <c r="B194" s="83" t="s">
        <v>393</v>
      </c>
      <c r="C194" s="60" t="s">
        <v>82</v>
      </c>
      <c r="D194" s="60">
        <v>211</v>
      </c>
      <c r="E194" s="60">
        <v>195</v>
      </c>
      <c r="F194" s="60">
        <v>0</v>
      </c>
      <c r="G194" s="60">
        <v>428</v>
      </c>
      <c r="H194" s="60">
        <v>86</v>
      </c>
      <c r="I194" s="60">
        <v>920</v>
      </c>
      <c r="J194" s="60">
        <v>319</v>
      </c>
      <c r="K194" s="60">
        <v>2</v>
      </c>
      <c r="L194" s="60" t="s">
        <v>18</v>
      </c>
      <c r="M194" s="60"/>
      <c r="N194" s="83" t="str">
        <f>VLOOKUP(B194,Hoja1!$B$1:$C$25,2,0)</f>
        <v>LUISA FERNANDA MEJIA CORREA</v>
      </c>
      <c r="O194" s="1" t="e">
        <f t="shared" si="0"/>
        <v>#REF!</v>
      </c>
    </row>
    <row r="195" spans="1:15" ht="15.75" hidden="1" customHeight="1" x14ac:dyDescent="0.25">
      <c r="A195" s="83">
        <v>318</v>
      </c>
      <c r="B195" s="83" t="s">
        <v>393</v>
      </c>
      <c r="C195" s="60"/>
      <c r="D195" s="60">
        <v>0</v>
      </c>
      <c r="E195" s="60">
        <v>0</v>
      </c>
      <c r="F195" s="60">
        <v>0</v>
      </c>
      <c r="G195" s="60">
        <v>0</v>
      </c>
      <c r="H195" s="60">
        <v>0</v>
      </c>
      <c r="I195" s="60">
        <v>0</v>
      </c>
      <c r="J195" s="60">
        <v>0</v>
      </c>
      <c r="K195" s="60">
        <v>0</v>
      </c>
      <c r="L195" s="60">
        <v>0</v>
      </c>
      <c r="M195" s="60"/>
      <c r="N195" s="83" t="str">
        <f>VLOOKUP(B195,Hoja1!$B$1:$C$25,2,0)</f>
        <v>LUISA FERNANDA MEJIA CORREA</v>
      </c>
      <c r="O195" s="1" t="e">
        <f t="shared" si="0"/>
        <v>#REF!</v>
      </c>
    </row>
    <row r="196" spans="1:15" ht="15.75" hidden="1" customHeight="1" x14ac:dyDescent="0.25">
      <c r="A196" s="83">
        <v>23</v>
      </c>
      <c r="B196" s="83" t="s">
        <v>396</v>
      </c>
      <c r="C196" s="60" t="s">
        <v>82</v>
      </c>
      <c r="D196" s="60">
        <v>21</v>
      </c>
      <c r="E196" s="60">
        <v>126</v>
      </c>
      <c r="F196" s="60">
        <v>0</v>
      </c>
      <c r="G196" s="60">
        <v>0</v>
      </c>
      <c r="H196" s="60">
        <v>0</v>
      </c>
      <c r="I196" s="60">
        <v>147</v>
      </c>
      <c r="J196" s="60">
        <v>0</v>
      </c>
      <c r="K196" s="60">
        <v>1</v>
      </c>
      <c r="L196" s="60">
        <f t="shared" ref="L196:L201" si="20">I196-J196</f>
        <v>147</v>
      </c>
      <c r="M196" s="84">
        <v>44985</v>
      </c>
      <c r="N196" s="83" t="str">
        <f>VLOOKUP(B196,Hoja1!$B$1:$C$25,2,0)</f>
        <v>EDGAR JAVIER CASTAÑEDA GIL</v>
      </c>
      <c r="O196" s="1" t="e">
        <f t="shared" si="0"/>
        <v>#REF!</v>
      </c>
    </row>
    <row r="197" spans="1:15" ht="15.75" hidden="1" customHeight="1" x14ac:dyDescent="0.25">
      <c r="A197" s="83">
        <v>25</v>
      </c>
      <c r="B197" s="83" t="s">
        <v>396</v>
      </c>
      <c r="C197" s="60" t="s">
        <v>82</v>
      </c>
      <c r="D197" s="60">
        <v>198</v>
      </c>
      <c r="E197" s="60">
        <v>104</v>
      </c>
      <c r="F197" s="60">
        <v>800</v>
      </c>
      <c r="G197" s="60">
        <v>130</v>
      </c>
      <c r="H197" s="60">
        <v>50</v>
      </c>
      <c r="I197" s="60">
        <v>1282</v>
      </c>
      <c r="J197" s="60">
        <v>203</v>
      </c>
      <c r="K197" s="60">
        <v>3</v>
      </c>
      <c r="L197" s="60">
        <f t="shared" si="20"/>
        <v>1079</v>
      </c>
      <c r="M197" s="84">
        <v>45016</v>
      </c>
      <c r="N197" s="83" t="str">
        <f>VLOOKUP(B197,Hoja1!$B$1:$C$25,2,0)</f>
        <v>EDGAR JAVIER CASTAÑEDA GIL</v>
      </c>
      <c r="O197" s="1" t="e">
        <f t="shared" si="0"/>
        <v>#REF!</v>
      </c>
    </row>
    <row r="198" spans="1:15" ht="15.75" hidden="1" customHeight="1" x14ac:dyDescent="0.25">
      <c r="A198" s="83">
        <v>26</v>
      </c>
      <c r="B198" s="83" t="s">
        <v>396</v>
      </c>
      <c r="C198" s="60" t="s">
        <v>82</v>
      </c>
      <c r="D198" s="60">
        <v>69</v>
      </c>
      <c r="E198" s="60">
        <v>2</v>
      </c>
      <c r="F198" s="60">
        <v>100</v>
      </c>
      <c r="G198" s="60">
        <v>60</v>
      </c>
      <c r="H198" s="60">
        <v>10</v>
      </c>
      <c r="I198" s="60">
        <v>241</v>
      </c>
      <c r="J198" s="60">
        <v>0</v>
      </c>
      <c r="K198" s="60">
        <v>1</v>
      </c>
      <c r="L198" s="60">
        <f t="shared" si="20"/>
        <v>241</v>
      </c>
      <c r="M198" s="84">
        <v>44985</v>
      </c>
      <c r="N198" s="83" t="str">
        <f>VLOOKUP(B198,Hoja1!$B$1:$C$25,2,0)</f>
        <v>EDGAR JAVIER CASTAÑEDA GIL</v>
      </c>
      <c r="O198" s="1" t="e">
        <f t="shared" si="0"/>
        <v>#REF!</v>
      </c>
    </row>
    <row r="199" spans="1:15" ht="15.75" hidden="1" customHeight="1" x14ac:dyDescent="0.25">
      <c r="A199" s="83">
        <v>28</v>
      </c>
      <c r="B199" s="83" t="s">
        <v>396</v>
      </c>
      <c r="C199" s="60" t="s">
        <v>82</v>
      </c>
      <c r="D199" s="60">
        <v>151</v>
      </c>
      <c r="E199" s="60">
        <v>249</v>
      </c>
      <c r="F199" s="60">
        <v>0</v>
      </c>
      <c r="G199" s="60">
        <v>0</v>
      </c>
      <c r="H199" s="60">
        <v>0</v>
      </c>
      <c r="I199" s="60">
        <v>400</v>
      </c>
      <c r="J199" s="60">
        <v>280</v>
      </c>
      <c r="K199" s="60">
        <v>2</v>
      </c>
      <c r="L199" s="60">
        <f t="shared" si="20"/>
        <v>120</v>
      </c>
      <c r="M199" s="84">
        <v>44985</v>
      </c>
      <c r="N199" s="83" t="str">
        <f>VLOOKUP(B199,Hoja1!$B$1:$C$25,2,0)</f>
        <v>EDGAR JAVIER CASTAÑEDA GIL</v>
      </c>
      <c r="O199" s="1" t="e">
        <f t="shared" si="0"/>
        <v>#REF!</v>
      </c>
    </row>
    <row r="200" spans="1:15" ht="15.75" hidden="1" customHeight="1" x14ac:dyDescent="0.25">
      <c r="A200" s="83">
        <v>33</v>
      </c>
      <c r="B200" s="83" t="s">
        <v>396</v>
      </c>
      <c r="C200" s="60" t="s">
        <v>45</v>
      </c>
      <c r="D200" s="60">
        <v>44</v>
      </c>
      <c r="E200" s="60">
        <v>0</v>
      </c>
      <c r="F200" s="60">
        <v>0</v>
      </c>
      <c r="G200" s="60">
        <v>0</v>
      </c>
      <c r="H200" s="60">
        <v>0</v>
      </c>
      <c r="I200" s="60">
        <v>44</v>
      </c>
      <c r="J200" s="60">
        <v>0</v>
      </c>
      <c r="K200" s="60">
        <v>0</v>
      </c>
      <c r="L200" s="60">
        <f t="shared" si="20"/>
        <v>44</v>
      </c>
      <c r="M200" s="84">
        <v>44985</v>
      </c>
      <c r="N200" s="83" t="str">
        <f>VLOOKUP(B200,Hoja1!$B$1:$C$25,2,0)</f>
        <v>EDGAR JAVIER CASTAÑEDA GIL</v>
      </c>
      <c r="O200" s="1" t="e">
        <f t="shared" si="0"/>
        <v>#REF!</v>
      </c>
    </row>
    <row r="201" spans="1:15" ht="15.75" hidden="1" customHeight="1" x14ac:dyDescent="0.25">
      <c r="A201" s="83">
        <v>34</v>
      </c>
      <c r="B201" s="83" t="s">
        <v>396</v>
      </c>
      <c r="C201" s="60" t="s">
        <v>45</v>
      </c>
      <c r="D201" s="60">
        <v>26</v>
      </c>
      <c r="E201" s="60">
        <v>0</v>
      </c>
      <c r="F201" s="60">
        <v>0</v>
      </c>
      <c r="G201" s="60">
        <v>0</v>
      </c>
      <c r="H201" s="60">
        <v>0</v>
      </c>
      <c r="I201" s="60">
        <v>26</v>
      </c>
      <c r="J201" s="60">
        <v>0</v>
      </c>
      <c r="K201" s="60">
        <v>0</v>
      </c>
      <c r="L201" s="60">
        <f t="shared" si="20"/>
        <v>26</v>
      </c>
      <c r="M201" s="84">
        <v>44985</v>
      </c>
      <c r="N201" s="83" t="str">
        <f>VLOOKUP(B201,Hoja1!$B$1:$C$25,2,0)</f>
        <v>EDGAR JAVIER CASTAÑEDA GIL</v>
      </c>
      <c r="O201" s="1" t="e">
        <f t="shared" si="0"/>
        <v>#REF!</v>
      </c>
    </row>
    <row r="202" spans="1:15" ht="15.75" hidden="1" customHeight="1" x14ac:dyDescent="0.25">
      <c r="A202" s="83">
        <v>36</v>
      </c>
      <c r="B202" s="83" t="s">
        <v>396</v>
      </c>
      <c r="C202" s="60" t="s">
        <v>45</v>
      </c>
      <c r="D202" s="60" t="e">
        <v>#N/A</v>
      </c>
      <c r="E202" s="60" t="e">
        <v>#N/A</v>
      </c>
      <c r="F202" s="60">
        <v>0</v>
      </c>
      <c r="G202" s="60">
        <v>0</v>
      </c>
      <c r="H202" s="60">
        <v>0</v>
      </c>
      <c r="I202" s="60" t="e">
        <v>#N/A</v>
      </c>
      <c r="J202" s="60">
        <v>0</v>
      </c>
      <c r="K202" s="60">
        <v>0</v>
      </c>
      <c r="L202" s="60" t="s">
        <v>18</v>
      </c>
      <c r="M202" s="60"/>
      <c r="N202" s="83" t="str">
        <f>VLOOKUP(B202,Hoja1!$B$1:$C$25,2,0)</f>
        <v>EDGAR JAVIER CASTAÑEDA GIL</v>
      </c>
      <c r="O202" s="1" t="e">
        <f t="shared" si="0"/>
        <v>#REF!</v>
      </c>
    </row>
    <row r="203" spans="1:15" ht="15.75" hidden="1" customHeight="1" x14ac:dyDescent="0.25">
      <c r="A203" s="83" t="s">
        <v>433</v>
      </c>
      <c r="B203" s="83" t="s">
        <v>396</v>
      </c>
      <c r="C203" s="60" t="s">
        <v>82</v>
      </c>
      <c r="D203" s="60">
        <v>315</v>
      </c>
      <c r="E203" s="60">
        <v>161</v>
      </c>
      <c r="F203" s="60">
        <v>0</v>
      </c>
      <c r="G203" s="60">
        <v>0</v>
      </c>
      <c r="H203" s="60">
        <v>0</v>
      </c>
      <c r="I203" s="60">
        <v>476</v>
      </c>
      <c r="J203" s="60">
        <v>477</v>
      </c>
      <c r="K203" s="60">
        <v>3</v>
      </c>
      <c r="L203" s="60">
        <f t="shared" ref="L203:L205" si="21">I203-J203</f>
        <v>-1</v>
      </c>
      <c r="M203" s="60"/>
      <c r="N203" s="83" t="str">
        <f>VLOOKUP(B203,Hoja1!$B$1:$C$25,2,0)</f>
        <v>EDGAR JAVIER CASTAÑEDA GIL</v>
      </c>
      <c r="O203" s="1" t="e">
        <f t="shared" si="0"/>
        <v>#REF!</v>
      </c>
    </row>
    <row r="204" spans="1:15" ht="15.75" hidden="1" customHeight="1" x14ac:dyDescent="0.25">
      <c r="A204" s="83" t="s">
        <v>434</v>
      </c>
      <c r="B204" s="83" t="s">
        <v>396</v>
      </c>
      <c r="C204" s="60" t="s">
        <v>82</v>
      </c>
      <c r="D204" s="60">
        <v>332</v>
      </c>
      <c r="E204" s="60">
        <v>73</v>
      </c>
      <c r="F204" s="60">
        <v>133</v>
      </c>
      <c r="G204" s="60">
        <v>640</v>
      </c>
      <c r="H204" s="60">
        <v>10</v>
      </c>
      <c r="I204" s="60">
        <v>1188</v>
      </c>
      <c r="J204" s="60">
        <v>222</v>
      </c>
      <c r="K204" s="60">
        <v>3</v>
      </c>
      <c r="L204" s="60">
        <f t="shared" si="21"/>
        <v>966</v>
      </c>
      <c r="M204" s="84">
        <v>45016</v>
      </c>
      <c r="N204" s="83" t="str">
        <f>VLOOKUP(B204,Hoja1!$B$1:$C$25,2,0)</f>
        <v>EDGAR JAVIER CASTAÑEDA GIL</v>
      </c>
      <c r="O204" s="1" t="e">
        <f t="shared" si="0"/>
        <v>#REF!</v>
      </c>
    </row>
    <row r="205" spans="1:15" ht="15.75" hidden="1" customHeight="1" x14ac:dyDescent="0.25">
      <c r="A205" s="83" t="s">
        <v>435</v>
      </c>
      <c r="B205" s="83" t="s">
        <v>396</v>
      </c>
      <c r="C205" s="60" t="s">
        <v>82</v>
      </c>
      <c r="D205" s="60">
        <v>350</v>
      </c>
      <c r="E205" s="60">
        <v>86</v>
      </c>
      <c r="F205" s="60">
        <v>200</v>
      </c>
      <c r="G205" s="60">
        <v>130</v>
      </c>
      <c r="H205" s="60">
        <v>50</v>
      </c>
      <c r="I205" s="60">
        <v>816</v>
      </c>
      <c r="J205" s="60">
        <v>236</v>
      </c>
      <c r="K205" s="60">
        <v>3</v>
      </c>
      <c r="L205" s="60">
        <f t="shared" si="21"/>
        <v>580</v>
      </c>
      <c r="M205" s="84">
        <v>45016</v>
      </c>
      <c r="N205" s="83" t="str">
        <f>VLOOKUP(B205,Hoja1!$B$1:$C$25,2,0)</f>
        <v>EDGAR JAVIER CASTAÑEDA GIL</v>
      </c>
      <c r="O205" s="1" t="e">
        <f t="shared" si="0"/>
        <v>#REF!</v>
      </c>
    </row>
    <row r="206" spans="1:15" ht="15.75" hidden="1" customHeight="1" x14ac:dyDescent="0.25">
      <c r="A206" s="83">
        <v>343</v>
      </c>
      <c r="B206" s="83" t="s">
        <v>396</v>
      </c>
      <c r="C206" s="60"/>
      <c r="D206" s="60"/>
      <c r="E206" s="60"/>
      <c r="F206" s="60"/>
      <c r="G206" s="60"/>
      <c r="H206" s="60"/>
      <c r="I206" s="60"/>
      <c r="J206" s="60">
        <v>0</v>
      </c>
      <c r="K206" s="60"/>
      <c r="L206" s="60"/>
      <c r="M206" s="60"/>
      <c r="N206" s="83" t="str">
        <f>VLOOKUP(B206,Hoja1!$B$1:$C$25,2,0)</f>
        <v>EDGAR JAVIER CASTAÑEDA GIL</v>
      </c>
      <c r="O206" s="1" t="e">
        <f t="shared" si="0"/>
        <v>#REF!</v>
      </c>
    </row>
    <row r="207" spans="1:15" ht="15.75" hidden="1" customHeight="1" x14ac:dyDescent="0.25">
      <c r="A207" s="83">
        <v>51</v>
      </c>
      <c r="B207" s="83" t="s">
        <v>399</v>
      </c>
      <c r="C207" s="60" t="s">
        <v>82</v>
      </c>
      <c r="D207" s="60">
        <v>121</v>
      </c>
      <c r="E207" s="60">
        <v>55</v>
      </c>
      <c r="F207" s="60">
        <v>100</v>
      </c>
      <c r="G207" s="60">
        <v>75</v>
      </c>
      <c r="H207" s="60">
        <v>1</v>
      </c>
      <c r="I207" s="60">
        <v>352</v>
      </c>
      <c r="J207" s="60">
        <v>0</v>
      </c>
      <c r="K207" s="60">
        <v>0</v>
      </c>
      <c r="L207" s="60">
        <f t="shared" ref="L207:L212" si="22">I207-J207</f>
        <v>352</v>
      </c>
      <c r="M207" s="84">
        <v>45046</v>
      </c>
      <c r="N207" s="83" t="str">
        <f>VLOOKUP(B207,Hoja1!$B$1:$C$25,2,0)</f>
        <v>LEONARDO PINZON URIBE</v>
      </c>
      <c r="O207" s="1" t="e">
        <f t="shared" si="0"/>
        <v>#REF!</v>
      </c>
    </row>
    <row r="208" spans="1:15" ht="15.75" hidden="1" customHeight="1" x14ac:dyDescent="0.25">
      <c r="A208" s="83">
        <v>52</v>
      </c>
      <c r="B208" s="83" t="s">
        <v>399</v>
      </c>
      <c r="C208" s="60" t="s">
        <v>45</v>
      </c>
      <c r="D208" s="60">
        <v>76</v>
      </c>
      <c r="E208" s="60">
        <v>77</v>
      </c>
      <c r="F208" s="60">
        <v>100</v>
      </c>
      <c r="G208" s="60">
        <v>22</v>
      </c>
      <c r="H208" s="60">
        <v>31</v>
      </c>
      <c r="I208" s="60">
        <v>306</v>
      </c>
      <c r="J208" s="60">
        <v>0</v>
      </c>
      <c r="K208" s="60">
        <v>2</v>
      </c>
      <c r="L208" s="60">
        <f t="shared" si="22"/>
        <v>306</v>
      </c>
      <c r="M208" s="84">
        <v>45000</v>
      </c>
      <c r="N208" s="83" t="str">
        <f>VLOOKUP(B208,Hoja1!$B$1:$C$25,2,0)</f>
        <v>LEONARDO PINZON URIBE</v>
      </c>
      <c r="O208" s="1" t="e">
        <f t="shared" si="0"/>
        <v>#REF!</v>
      </c>
    </row>
    <row r="209" spans="1:15" ht="15.75" hidden="1" customHeight="1" x14ac:dyDescent="0.25">
      <c r="A209" s="83">
        <v>53</v>
      </c>
      <c r="B209" s="83" t="s">
        <v>399</v>
      </c>
      <c r="C209" s="60" t="s">
        <v>82</v>
      </c>
      <c r="D209" s="60">
        <v>45</v>
      </c>
      <c r="E209" s="60">
        <v>40</v>
      </c>
      <c r="F209" s="60">
        <v>116</v>
      </c>
      <c r="G209" s="60">
        <v>0</v>
      </c>
      <c r="H209" s="60">
        <v>18</v>
      </c>
      <c r="I209" s="60">
        <v>219</v>
      </c>
      <c r="J209" s="60">
        <v>0</v>
      </c>
      <c r="K209" s="60">
        <v>6</v>
      </c>
      <c r="L209" s="60">
        <f t="shared" si="22"/>
        <v>219</v>
      </c>
      <c r="M209" s="84">
        <v>44985</v>
      </c>
      <c r="N209" s="83" t="str">
        <f>VLOOKUP(B209,Hoja1!$B$1:$C$25,2,0)</f>
        <v>LEONARDO PINZON URIBE</v>
      </c>
      <c r="O209" s="1" t="e">
        <f t="shared" si="0"/>
        <v>#REF!</v>
      </c>
    </row>
    <row r="210" spans="1:15" ht="15.75" hidden="1" customHeight="1" x14ac:dyDescent="0.25">
      <c r="A210" s="83">
        <v>54</v>
      </c>
      <c r="B210" s="83" t="s">
        <v>399</v>
      </c>
      <c r="C210" s="60" t="s">
        <v>82</v>
      </c>
      <c r="D210" s="60">
        <v>390</v>
      </c>
      <c r="E210" s="60">
        <v>365</v>
      </c>
      <c r="F210" s="60">
        <v>400</v>
      </c>
      <c r="G210" s="60">
        <v>355</v>
      </c>
      <c r="H210" s="60">
        <v>0</v>
      </c>
      <c r="I210" s="60">
        <v>1510</v>
      </c>
      <c r="J210" s="60">
        <v>0</v>
      </c>
      <c r="K210" s="60">
        <v>2</v>
      </c>
      <c r="L210" s="60">
        <f t="shared" si="22"/>
        <v>1510</v>
      </c>
      <c r="M210" s="84">
        <v>45046</v>
      </c>
      <c r="N210" s="83" t="str">
        <f>VLOOKUP(B210,Hoja1!$B$1:$C$25,2,0)</f>
        <v>LEONARDO PINZON URIBE</v>
      </c>
      <c r="O210" s="1" t="e">
        <f t="shared" si="0"/>
        <v>#REF!</v>
      </c>
    </row>
    <row r="211" spans="1:15" ht="15.75" hidden="1" customHeight="1" x14ac:dyDescent="0.25">
      <c r="A211" s="83">
        <v>55</v>
      </c>
      <c r="B211" s="83" t="s">
        <v>399</v>
      </c>
      <c r="C211" s="60" t="s">
        <v>82</v>
      </c>
      <c r="D211" s="60">
        <v>340</v>
      </c>
      <c r="E211" s="60">
        <v>135</v>
      </c>
      <c r="F211" s="60">
        <v>475</v>
      </c>
      <c r="G211" s="60">
        <v>0</v>
      </c>
      <c r="H211" s="60">
        <v>0</v>
      </c>
      <c r="I211" s="60">
        <v>950</v>
      </c>
      <c r="J211" s="60">
        <v>0</v>
      </c>
      <c r="K211" s="60">
        <v>2</v>
      </c>
      <c r="L211" s="60">
        <f t="shared" si="22"/>
        <v>950</v>
      </c>
      <c r="M211" s="84">
        <v>45046</v>
      </c>
      <c r="N211" s="83" t="str">
        <f>VLOOKUP(B211,Hoja1!$B$1:$C$25,2,0)</f>
        <v>LEONARDO PINZON URIBE</v>
      </c>
      <c r="O211" s="1" t="e">
        <f t="shared" si="0"/>
        <v>#REF!</v>
      </c>
    </row>
    <row r="212" spans="1:15" ht="15.75" hidden="1" customHeight="1" x14ac:dyDescent="0.25">
      <c r="A212" s="83">
        <v>56</v>
      </c>
      <c r="B212" s="83" t="s">
        <v>399</v>
      </c>
      <c r="C212" s="60" t="s">
        <v>82</v>
      </c>
      <c r="D212" s="60">
        <v>144</v>
      </c>
      <c r="E212" s="60">
        <v>112</v>
      </c>
      <c r="F212" s="60">
        <v>136</v>
      </c>
      <c r="G212" s="60">
        <v>100</v>
      </c>
      <c r="H212" s="60">
        <v>20</v>
      </c>
      <c r="I212" s="60">
        <v>512</v>
      </c>
      <c r="J212" s="60">
        <v>0</v>
      </c>
      <c r="K212" s="60">
        <v>3</v>
      </c>
      <c r="L212" s="60">
        <f t="shared" si="22"/>
        <v>512</v>
      </c>
      <c r="M212" s="84">
        <v>45016</v>
      </c>
      <c r="N212" s="83" t="str">
        <f>VLOOKUP(B212,Hoja1!$B$1:$C$25,2,0)</f>
        <v>LEONARDO PINZON URIBE</v>
      </c>
      <c r="O212" s="1" t="e">
        <f t="shared" si="0"/>
        <v>#REF!</v>
      </c>
    </row>
    <row r="213" spans="1:15" ht="15.75" hidden="1" customHeight="1" x14ac:dyDescent="0.25">
      <c r="A213" s="83">
        <v>57</v>
      </c>
      <c r="B213" s="83" t="s">
        <v>425</v>
      </c>
      <c r="C213" s="60" t="s">
        <v>45</v>
      </c>
      <c r="D213" s="60">
        <v>99</v>
      </c>
      <c r="E213" s="60">
        <v>101</v>
      </c>
      <c r="F213" s="60">
        <v>106</v>
      </c>
      <c r="G213" s="60">
        <v>20</v>
      </c>
      <c r="H213" s="60">
        <v>74</v>
      </c>
      <c r="I213" s="60">
        <v>400</v>
      </c>
      <c r="J213" s="60">
        <v>20</v>
      </c>
      <c r="K213" s="60">
        <v>0</v>
      </c>
      <c r="L213" s="60" t="s">
        <v>18</v>
      </c>
      <c r="M213" s="60"/>
      <c r="N213" s="83" t="str">
        <f>VLOOKUP(B213,Hoja1!$B$1:$C$25,2,0)</f>
        <v>LUISA FERNANDA MEJIA CORREA</v>
      </c>
      <c r="O213" s="1" t="e">
        <f t="shared" si="0"/>
        <v>#REF!</v>
      </c>
    </row>
    <row r="214" spans="1:15" ht="15.75" hidden="1" customHeight="1" x14ac:dyDescent="0.25">
      <c r="A214" s="83">
        <v>58</v>
      </c>
      <c r="B214" s="83" t="s">
        <v>399</v>
      </c>
      <c r="C214" s="60" t="s">
        <v>45</v>
      </c>
      <c r="D214" s="60">
        <v>279</v>
      </c>
      <c r="E214" s="60">
        <v>276</v>
      </c>
      <c r="F214" s="60">
        <v>415</v>
      </c>
      <c r="G214" s="60">
        <v>0</v>
      </c>
      <c r="H214" s="60">
        <v>140</v>
      </c>
      <c r="I214" s="60">
        <v>1110</v>
      </c>
      <c r="J214" s="60">
        <v>0</v>
      </c>
      <c r="K214" s="60">
        <v>3</v>
      </c>
      <c r="L214" s="60">
        <f t="shared" ref="L214:L217" si="23">I214-J214</f>
        <v>1110</v>
      </c>
      <c r="M214" s="84">
        <v>45046</v>
      </c>
      <c r="N214" s="83" t="str">
        <f>VLOOKUP(B214,Hoja1!$B$1:$C$25,2,0)</f>
        <v>LEONARDO PINZON URIBE</v>
      </c>
      <c r="O214" s="1" t="e">
        <f t="shared" si="0"/>
        <v>#REF!</v>
      </c>
    </row>
    <row r="215" spans="1:15" ht="15.75" hidden="1" customHeight="1" x14ac:dyDescent="0.25">
      <c r="A215" s="83">
        <v>79</v>
      </c>
      <c r="B215" s="83" t="s">
        <v>399</v>
      </c>
      <c r="C215" s="60" t="s">
        <v>82</v>
      </c>
      <c r="D215" s="60">
        <v>255</v>
      </c>
      <c r="E215" s="60">
        <v>15</v>
      </c>
      <c r="F215" s="60">
        <v>0</v>
      </c>
      <c r="G215" s="60">
        <v>0</v>
      </c>
      <c r="H215" s="60">
        <v>0</v>
      </c>
      <c r="I215" s="60">
        <v>270</v>
      </c>
      <c r="J215" s="60">
        <v>0</v>
      </c>
      <c r="K215" s="60">
        <v>1</v>
      </c>
      <c r="L215" s="60">
        <f t="shared" si="23"/>
        <v>270</v>
      </c>
      <c r="M215" s="84">
        <v>44985</v>
      </c>
      <c r="N215" s="83" t="str">
        <f>VLOOKUP(B215,Hoja1!$B$1:$C$25,2,0)</f>
        <v>LEONARDO PINZON URIBE</v>
      </c>
      <c r="O215" s="1" t="e">
        <f t="shared" si="0"/>
        <v>#REF!</v>
      </c>
    </row>
    <row r="216" spans="1:15" ht="15.75" hidden="1" customHeight="1" x14ac:dyDescent="0.25">
      <c r="A216" s="83">
        <v>80</v>
      </c>
      <c r="B216" s="83" t="s">
        <v>399</v>
      </c>
      <c r="C216" s="60" t="s">
        <v>45</v>
      </c>
      <c r="D216" s="60">
        <v>47</v>
      </c>
      <c r="E216" s="60">
        <v>30</v>
      </c>
      <c r="F216" s="60">
        <v>0</v>
      </c>
      <c r="G216" s="60">
        <v>0</v>
      </c>
      <c r="H216" s="60">
        <v>0</v>
      </c>
      <c r="I216" s="60">
        <v>77</v>
      </c>
      <c r="J216" s="60">
        <v>0</v>
      </c>
      <c r="K216" s="60">
        <v>0</v>
      </c>
      <c r="L216" s="60">
        <f t="shared" si="23"/>
        <v>77</v>
      </c>
      <c r="M216" s="84">
        <v>44985</v>
      </c>
      <c r="N216" s="83" t="str">
        <f>VLOOKUP(B216,Hoja1!$B$1:$C$25,2,0)</f>
        <v>LEONARDO PINZON URIBE</v>
      </c>
      <c r="O216" s="1" t="e">
        <f t="shared" si="0"/>
        <v>#REF!</v>
      </c>
    </row>
    <row r="217" spans="1:15" ht="15.75" hidden="1" customHeight="1" x14ac:dyDescent="0.25">
      <c r="A217" s="83">
        <v>81</v>
      </c>
      <c r="B217" s="83" t="s">
        <v>399</v>
      </c>
      <c r="C217" s="60" t="s">
        <v>82</v>
      </c>
      <c r="D217" s="60">
        <v>64</v>
      </c>
      <c r="E217" s="60">
        <v>129</v>
      </c>
      <c r="F217" s="60">
        <v>0</v>
      </c>
      <c r="G217" s="60">
        <v>0</v>
      </c>
      <c r="H217" s="60">
        <v>0</v>
      </c>
      <c r="I217" s="60">
        <v>193</v>
      </c>
      <c r="J217" s="60">
        <v>60</v>
      </c>
      <c r="K217" s="60">
        <v>1</v>
      </c>
      <c r="L217" s="60">
        <f t="shared" si="23"/>
        <v>133</v>
      </c>
      <c r="M217" s="84">
        <v>44985</v>
      </c>
      <c r="N217" s="83" t="str">
        <f>VLOOKUP(B217,Hoja1!$B$1:$C$25,2,0)</f>
        <v>LEONARDO PINZON URIBE</v>
      </c>
      <c r="O217" s="1" t="e">
        <f t="shared" si="0"/>
        <v>#REF!</v>
      </c>
    </row>
    <row r="218" spans="1:15" ht="15.75" hidden="1" customHeight="1" x14ac:dyDescent="0.25">
      <c r="A218" s="83">
        <v>82</v>
      </c>
      <c r="B218" s="83" t="s">
        <v>399</v>
      </c>
      <c r="C218" s="60" t="s">
        <v>45</v>
      </c>
      <c r="D218" s="60">
        <v>30</v>
      </c>
      <c r="E218" s="60">
        <v>20</v>
      </c>
      <c r="F218" s="60">
        <v>0</v>
      </c>
      <c r="G218" s="60">
        <v>0</v>
      </c>
      <c r="H218" s="60">
        <v>0</v>
      </c>
      <c r="I218" s="60">
        <v>50</v>
      </c>
      <c r="J218" s="60">
        <v>26</v>
      </c>
      <c r="K218" s="60">
        <v>0</v>
      </c>
      <c r="L218" s="60">
        <v>0</v>
      </c>
      <c r="M218" s="60"/>
      <c r="N218" s="83" t="str">
        <f>VLOOKUP(B218,Hoja1!$B$1:$C$25,2,0)</f>
        <v>LEONARDO PINZON URIBE</v>
      </c>
      <c r="O218" s="1" t="e">
        <f t="shared" si="0"/>
        <v>#REF!</v>
      </c>
    </row>
    <row r="219" spans="1:15" ht="15.75" hidden="1" customHeight="1" x14ac:dyDescent="0.25">
      <c r="A219" s="83">
        <v>87</v>
      </c>
      <c r="B219" s="83" t="s">
        <v>399</v>
      </c>
      <c r="C219" s="60" t="s">
        <v>82</v>
      </c>
      <c r="D219" s="60">
        <v>296</v>
      </c>
      <c r="E219" s="60">
        <v>1</v>
      </c>
      <c r="F219" s="60">
        <v>0</v>
      </c>
      <c r="G219" s="60">
        <v>0</v>
      </c>
      <c r="H219" s="60">
        <v>0</v>
      </c>
      <c r="I219" s="60">
        <v>297</v>
      </c>
      <c r="J219" s="60">
        <v>0</v>
      </c>
      <c r="K219" s="60">
        <v>3</v>
      </c>
      <c r="L219" s="60">
        <f t="shared" ref="L219:L220" si="24">I219-J219</f>
        <v>297</v>
      </c>
      <c r="M219" s="84">
        <v>45000</v>
      </c>
      <c r="N219" s="83" t="str">
        <f>VLOOKUP(B219,Hoja1!$B$1:$C$25,2,0)</f>
        <v>LEONARDO PINZON URIBE</v>
      </c>
      <c r="O219" s="1" t="e">
        <f t="shared" si="0"/>
        <v>#REF!</v>
      </c>
    </row>
    <row r="220" spans="1:15" ht="15.75" hidden="1" customHeight="1" x14ac:dyDescent="0.25">
      <c r="A220" s="83">
        <v>90</v>
      </c>
      <c r="B220" s="83" t="s">
        <v>399</v>
      </c>
      <c r="C220" s="60" t="s">
        <v>82</v>
      </c>
      <c r="D220" s="60">
        <v>360</v>
      </c>
      <c r="E220" s="60">
        <v>79</v>
      </c>
      <c r="F220" s="60">
        <v>0</v>
      </c>
      <c r="G220" s="60">
        <v>0</v>
      </c>
      <c r="H220" s="60">
        <v>0</v>
      </c>
      <c r="I220" s="60">
        <v>439</v>
      </c>
      <c r="J220" s="60">
        <v>0</v>
      </c>
      <c r="K220" s="60">
        <v>5</v>
      </c>
      <c r="L220" s="60">
        <f t="shared" si="24"/>
        <v>439</v>
      </c>
      <c r="M220" s="84">
        <v>45000</v>
      </c>
      <c r="N220" s="83" t="str">
        <f>VLOOKUP(B220,Hoja1!$B$1:$C$25,2,0)</f>
        <v>LEONARDO PINZON URIBE</v>
      </c>
      <c r="O220" s="1" t="e">
        <f t="shared" si="0"/>
        <v>#REF!</v>
      </c>
    </row>
    <row r="221" spans="1:15" ht="15.75" hidden="1" customHeight="1" x14ac:dyDescent="0.25">
      <c r="A221" s="83">
        <v>92</v>
      </c>
      <c r="B221" s="83" t="s">
        <v>399</v>
      </c>
      <c r="C221" s="60" t="s">
        <v>82</v>
      </c>
      <c r="D221" s="60">
        <v>70</v>
      </c>
      <c r="E221" s="60">
        <v>121</v>
      </c>
      <c r="F221" s="60">
        <v>0</v>
      </c>
      <c r="G221" s="60">
        <v>0</v>
      </c>
      <c r="H221" s="60">
        <v>0</v>
      </c>
      <c r="I221" s="60">
        <v>191</v>
      </c>
      <c r="J221" s="60">
        <v>47</v>
      </c>
      <c r="K221" s="60">
        <v>1</v>
      </c>
      <c r="L221" s="60" t="s">
        <v>18</v>
      </c>
      <c r="M221" s="60"/>
      <c r="N221" s="83" t="str">
        <f>VLOOKUP(B221,Hoja1!$B$1:$C$25,2,0)</f>
        <v>LEONARDO PINZON URIBE</v>
      </c>
      <c r="O221" s="1" t="e">
        <f t="shared" si="0"/>
        <v>#REF!</v>
      </c>
    </row>
    <row r="222" spans="1:15" ht="15.75" hidden="1" customHeight="1" x14ac:dyDescent="0.25">
      <c r="A222" s="83">
        <v>95</v>
      </c>
      <c r="B222" s="83" t="s">
        <v>399</v>
      </c>
      <c r="C222" s="60" t="s">
        <v>45</v>
      </c>
      <c r="D222" s="60">
        <v>60</v>
      </c>
      <c r="E222" s="60">
        <v>0</v>
      </c>
      <c r="F222" s="60">
        <v>0</v>
      </c>
      <c r="G222" s="60">
        <v>0</v>
      </c>
      <c r="H222" s="60">
        <v>0</v>
      </c>
      <c r="I222" s="60">
        <v>60</v>
      </c>
      <c r="J222" s="60">
        <v>56</v>
      </c>
      <c r="K222" s="60">
        <v>1</v>
      </c>
      <c r="L222" s="60">
        <v>0</v>
      </c>
      <c r="M222" s="60"/>
      <c r="N222" s="83" t="str">
        <f>VLOOKUP(B222,Hoja1!$B$1:$C$25,2,0)</f>
        <v>LEONARDO PINZON URIBE</v>
      </c>
      <c r="O222" s="1" t="e">
        <f t="shared" si="0"/>
        <v>#REF!</v>
      </c>
    </row>
    <row r="223" spans="1:15" ht="15.75" hidden="1" customHeight="1" x14ac:dyDescent="0.25">
      <c r="A223" s="83">
        <v>210</v>
      </c>
      <c r="B223" s="83" t="s">
        <v>399</v>
      </c>
      <c r="C223" s="60" t="s">
        <v>45</v>
      </c>
      <c r="D223" s="60">
        <v>126</v>
      </c>
      <c r="E223" s="60">
        <v>131</v>
      </c>
      <c r="F223" s="60">
        <v>222</v>
      </c>
      <c r="G223" s="60">
        <v>30</v>
      </c>
      <c r="H223" s="60">
        <v>5</v>
      </c>
      <c r="I223" s="60">
        <v>514</v>
      </c>
      <c r="J223" s="60">
        <v>0</v>
      </c>
      <c r="K223" s="60">
        <v>3</v>
      </c>
      <c r="L223" s="60">
        <f t="shared" ref="L223:L225" si="25">I223-J223</f>
        <v>514</v>
      </c>
      <c r="M223" s="84">
        <v>45016</v>
      </c>
      <c r="N223" s="83" t="str">
        <f>VLOOKUP(B223,Hoja1!$B$1:$C$25,2,0)</f>
        <v>LEONARDO PINZON URIBE</v>
      </c>
      <c r="O223" s="1" t="e">
        <f t="shared" si="0"/>
        <v>#REF!</v>
      </c>
    </row>
    <row r="224" spans="1:15" ht="15.75" hidden="1" customHeight="1" x14ac:dyDescent="0.25">
      <c r="A224" s="83">
        <v>296</v>
      </c>
      <c r="B224" s="83" t="s">
        <v>399</v>
      </c>
      <c r="C224" s="60" t="s">
        <v>45</v>
      </c>
      <c r="D224" s="60">
        <v>140</v>
      </c>
      <c r="E224" s="60">
        <v>100</v>
      </c>
      <c r="F224" s="60">
        <v>130</v>
      </c>
      <c r="G224" s="60">
        <v>110</v>
      </c>
      <c r="H224" s="60">
        <v>0</v>
      </c>
      <c r="I224" s="60">
        <v>480</v>
      </c>
      <c r="J224" s="60">
        <v>0</v>
      </c>
      <c r="K224" s="60">
        <v>3</v>
      </c>
      <c r="L224" s="60">
        <f t="shared" si="25"/>
        <v>480</v>
      </c>
      <c r="M224" s="84">
        <v>45000</v>
      </c>
      <c r="N224" s="83" t="str">
        <f>VLOOKUP(B224,Hoja1!$B$1:$C$25,2,0)</f>
        <v>LEONARDO PINZON URIBE</v>
      </c>
      <c r="O224" s="1" t="e">
        <f t="shared" si="0"/>
        <v>#REF!</v>
      </c>
    </row>
    <row r="225" spans="1:15" ht="15.75" hidden="1" customHeight="1" x14ac:dyDescent="0.25">
      <c r="A225" s="83" t="s">
        <v>400</v>
      </c>
      <c r="B225" s="83" t="s">
        <v>399</v>
      </c>
      <c r="C225" s="60" t="s">
        <v>82</v>
      </c>
      <c r="D225" s="60">
        <v>446</v>
      </c>
      <c r="E225" s="60">
        <v>682</v>
      </c>
      <c r="F225" s="60">
        <v>1069</v>
      </c>
      <c r="G225" s="60">
        <v>0</v>
      </c>
      <c r="H225" s="60">
        <v>59</v>
      </c>
      <c r="I225" s="60">
        <v>2256</v>
      </c>
      <c r="J225" s="60">
        <v>0</v>
      </c>
      <c r="K225" s="60">
        <v>6</v>
      </c>
      <c r="L225" s="60">
        <f t="shared" si="25"/>
        <v>2256</v>
      </c>
      <c r="M225" s="84">
        <v>45046</v>
      </c>
      <c r="N225" s="83" t="str">
        <f>VLOOKUP(B225,Hoja1!$B$1:$C$25,2,0)</f>
        <v>LEONARDO PINZON URIBE</v>
      </c>
      <c r="O225" s="1" t="e">
        <f t="shared" si="0"/>
        <v>#REF!</v>
      </c>
    </row>
    <row r="226" spans="1:15" ht="15.75" hidden="1" customHeight="1" x14ac:dyDescent="0.25">
      <c r="A226" s="83" t="s">
        <v>401</v>
      </c>
      <c r="B226" s="83" t="s">
        <v>399</v>
      </c>
      <c r="C226" s="60" t="s">
        <v>45</v>
      </c>
      <c r="D226" s="60">
        <v>125</v>
      </c>
      <c r="E226" s="60">
        <v>0</v>
      </c>
      <c r="F226" s="60">
        <v>0</v>
      </c>
      <c r="G226" s="60">
        <v>0</v>
      </c>
      <c r="H226" s="60">
        <v>0</v>
      </c>
      <c r="I226" s="60">
        <v>125</v>
      </c>
      <c r="J226" s="60">
        <v>0</v>
      </c>
      <c r="K226" s="60">
        <v>0</v>
      </c>
      <c r="L226" s="60">
        <v>0</v>
      </c>
      <c r="M226" s="60"/>
      <c r="N226" s="83" t="str">
        <f>VLOOKUP(B226,Hoja1!$B$1:$C$25,2,0)</f>
        <v>LEONARDO PINZON URIBE</v>
      </c>
      <c r="O226" s="1" t="e">
        <f t="shared" si="0"/>
        <v>#REF!</v>
      </c>
    </row>
    <row r="227" spans="1:15" ht="15.75" hidden="1" customHeight="1" x14ac:dyDescent="0.25">
      <c r="A227" s="83">
        <v>325</v>
      </c>
      <c r="B227" s="83" t="s">
        <v>399</v>
      </c>
      <c r="C227" s="60"/>
      <c r="D227" s="60"/>
      <c r="E227" s="60"/>
      <c r="F227" s="60"/>
      <c r="G227" s="60"/>
      <c r="H227" s="60"/>
      <c r="I227" s="60"/>
      <c r="J227" s="60">
        <v>0</v>
      </c>
      <c r="K227" s="60"/>
      <c r="L227" s="60"/>
      <c r="M227" s="60"/>
      <c r="N227" s="83" t="str">
        <f>VLOOKUP(B227,Hoja1!$B$1:$C$25,2,0)</f>
        <v>LEONARDO PINZON URIBE</v>
      </c>
      <c r="O227" s="1" t="e">
        <f t="shared" si="0"/>
        <v>#REF!</v>
      </c>
    </row>
    <row r="228" spans="1:15" ht="15.75" hidden="1" customHeight="1" x14ac:dyDescent="0.25">
      <c r="A228" s="83">
        <v>326</v>
      </c>
      <c r="B228" s="83" t="s">
        <v>399</v>
      </c>
      <c r="C228" s="60"/>
      <c r="D228" s="60"/>
      <c r="E228" s="60"/>
      <c r="F228" s="60"/>
      <c r="G228" s="60"/>
      <c r="H228" s="60"/>
      <c r="I228" s="60"/>
      <c r="J228" s="60">
        <v>0</v>
      </c>
      <c r="K228" s="60"/>
      <c r="L228" s="60"/>
      <c r="M228" s="60"/>
      <c r="N228" s="83" t="str">
        <f>VLOOKUP(B228,Hoja1!$B$1:$C$25,2,0)</f>
        <v>LEONARDO PINZON URIBE</v>
      </c>
      <c r="O228" s="1" t="e">
        <f t="shared" si="0"/>
        <v>#REF!</v>
      </c>
    </row>
    <row r="229" spans="1:15" ht="15.75" hidden="1" customHeight="1" x14ac:dyDescent="0.25">
      <c r="A229" s="83">
        <v>327</v>
      </c>
      <c r="B229" s="83" t="s">
        <v>399</v>
      </c>
      <c r="C229" s="60"/>
      <c r="D229" s="60"/>
      <c r="E229" s="60"/>
      <c r="F229" s="60"/>
      <c r="G229" s="60"/>
      <c r="H229" s="60"/>
      <c r="I229" s="60"/>
      <c r="J229" s="60">
        <v>0</v>
      </c>
      <c r="K229" s="60"/>
      <c r="L229" s="60"/>
      <c r="M229" s="60"/>
      <c r="N229" s="83" t="str">
        <f>VLOOKUP(B229,Hoja1!$B$1:$C$25,2,0)</f>
        <v>LEONARDO PINZON URIBE</v>
      </c>
      <c r="O229" s="1" t="e">
        <f t="shared" si="0"/>
        <v>#REF!</v>
      </c>
    </row>
    <row r="230" spans="1:15" ht="15.75" hidden="1" customHeight="1" x14ac:dyDescent="0.25">
      <c r="A230" s="83">
        <v>328</v>
      </c>
      <c r="B230" s="83" t="s">
        <v>399</v>
      </c>
      <c r="C230" s="60"/>
      <c r="D230" s="60"/>
      <c r="E230" s="60"/>
      <c r="F230" s="60"/>
      <c r="G230" s="60"/>
      <c r="H230" s="60"/>
      <c r="I230" s="60"/>
      <c r="J230" s="60">
        <v>0</v>
      </c>
      <c r="K230" s="60"/>
      <c r="L230" s="60"/>
      <c r="M230" s="60"/>
      <c r="N230" s="83" t="str">
        <f>VLOOKUP(B230,Hoja1!$B$1:$C$25,2,0)</f>
        <v>LEONARDO PINZON URIBE</v>
      </c>
      <c r="O230" s="1" t="e">
        <f t="shared" si="0"/>
        <v>#REF!</v>
      </c>
    </row>
    <row r="231" spans="1:15" ht="15.75" hidden="1" customHeight="1" x14ac:dyDescent="0.25">
      <c r="A231" s="83">
        <v>329</v>
      </c>
      <c r="B231" s="83" t="s">
        <v>399</v>
      </c>
      <c r="C231" s="60"/>
      <c r="D231" s="60"/>
      <c r="E231" s="60"/>
      <c r="F231" s="60"/>
      <c r="G231" s="60"/>
      <c r="H231" s="60"/>
      <c r="I231" s="60"/>
      <c r="J231" s="60">
        <v>0</v>
      </c>
      <c r="K231" s="60"/>
      <c r="L231" s="60"/>
      <c r="M231" s="60"/>
      <c r="N231" s="83" t="str">
        <f>VLOOKUP(B231,Hoja1!$B$1:$C$25,2,0)</f>
        <v>LEONARDO PINZON URIBE</v>
      </c>
      <c r="O231" s="1" t="e">
        <f t="shared" si="0"/>
        <v>#REF!</v>
      </c>
    </row>
    <row r="232" spans="1:15" ht="15.75" hidden="1" customHeight="1" x14ac:dyDescent="0.25">
      <c r="A232" s="83">
        <v>341</v>
      </c>
      <c r="B232" s="83" t="s">
        <v>399</v>
      </c>
      <c r="C232" s="60"/>
      <c r="D232" s="60"/>
      <c r="E232" s="60"/>
      <c r="F232" s="60"/>
      <c r="G232" s="60"/>
      <c r="H232" s="60"/>
      <c r="I232" s="60"/>
      <c r="J232" s="60">
        <v>0</v>
      </c>
      <c r="K232" s="60"/>
      <c r="L232" s="60"/>
      <c r="M232" s="60"/>
      <c r="N232" s="83" t="str">
        <f>VLOOKUP(B232,Hoja1!$B$1:$C$25,2,0)</f>
        <v>LEONARDO PINZON URIBE</v>
      </c>
      <c r="O232" s="1" t="e">
        <f t="shared" si="0"/>
        <v>#REF!</v>
      </c>
    </row>
    <row r="233" spans="1:15" ht="15.75" hidden="1" customHeight="1" x14ac:dyDescent="0.25">
      <c r="A233" s="83">
        <v>2</v>
      </c>
      <c r="B233" s="83" t="s">
        <v>402</v>
      </c>
      <c r="C233" s="60" t="s">
        <v>82</v>
      </c>
      <c r="D233" s="60">
        <v>183</v>
      </c>
      <c r="E233" s="60">
        <v>81</v>
      </c>
      <c r="F233" s="60">
        <v>16</v>
      </c>
      <c r="G233" s="60">
        <v>0</v>
      </c>
      <c r="H233" s="60">
        <v>248</v>
      </c>
      <c r="I233" s="60">
        <v>528</v>
      </c>
      <c r="J233" s="60">
        <v>95</v>
      </c>
      <c r="K233" s="60">
        <v>2</v>
      </c>
      <c r="L233" s="60">
        <f t="shared" ref="L233:L235" si="26">I233-J233</f>
        <v>433</v>
      </c>
      <c r="M233" s="84">
        <v>45016</v>
      </c>
      <c r="N233" s="83" t="str">
        <f>VLOOKUP(B233,Hoja1!$B$1:$C$25,2,0)</f>
        <v>LEONARDO PINZON URIBE</v>
      </c>
      <c r="O233" s="1" t="e">
        <f t="shared" si="0"/>
        <v>#REF!</v>
      </c>
    </row>
    <row r="234" spans="1:15" ht="15.75" hidden="1" customHeight="1" x14ac:dyDescent="0.25">
      <c r="A234" s="83">
        <v>4</v>
      </c>
      <c r="B234" s="83" t="s">
        <v>402</v>
      </c>
      <c r="C234" s="60" t="s">
        <v>82</v>
      </c>
      <c r="D234" s="60">
        <v>75</v>
      </c>
      <c r="E234" s="60">
        <v>14</v>
      </c>
      <c r="F234" s="60">
        <v>89</v>
      </c>
      <c r="G234" s="60">
        <v>0</v>
      </c>
      <c r="H234" s="60">
        <v>0</v>
      </c>
      <c r="I234" s="60">
        <v>178</v>
      </c>
      <c r="J234" s="60">
        <v>0</v>
      </c>
      <c r="K234" s="60">
        <v>1</v>
      </c>
      <c r="L234" s="60">
        <f t="shared" si="26"/>
        <v>178</v>
      </c>
      <c r="M234" s="84">
        <v>45000</v>
      </c>
      <c r="N234" s="83" t="str">
        <f>VLOOKUP(B234,Hoja1!$B$1:$C$25,2,0)</f>
        <v>LEONARDO PINZON URIBE</v>
      </c>
      <c r="O234" s="1" t="e">
        <f t="shared" si="0"/>
        <v>#REF!</v>
      </c>
    </row>
    <row r="235" spans="1:15" ht="15.75" hidden="1" customHeight="1" x14ac:dyDescent="0.25">
      <c r="A235" s="83">
        <v>14</v>
      </c>
      <c r="B235" s="83" t="s">
        <v>402</v>
      </c>
      <c r="C235" s="60" t="s">
        <v>82</v>
      </c>
      <c r="D235" s="60">
        <v>56</v>
      </c>
      <c r="E235" s="60">
        <v>107</v>
      </c>
      <c r="F235" s="60">
        <v>0</v>
      </c>
      <c r="G235" s="60">
        <v>0</v>
      </c>
      <c r="H235" s="60">
        <v>0</v>
      </c>
      <c r="I235" s="60">
        <v>163</v>
      </c>
      <c r="J235" s="60">
        <v>0</v>
      </c>
      <c r="K235" s="60">
        <v>1</v>
      </c>
      <c r="L235" s="60">
        <f t="shared" si="26"/>
        <v>163</v>
      </c>
      <c r="M235" s="84">
        <v>45000</v>
      </c>
      <c r="N235" s="83" t="str">
        <f>VLOOKUP(B235,Hoja1!$B$1:$C$25,2,0)</f>
        <v>LEONARDO PINZON URIBE</v>
      </c>
      <c r="O235" s="1" t="e">
        <f t="shared" si="0"/>
        <v>#REF!</v>
      </c>
    </row>
    <row r="236" spans="1:15" ht="15.75" hidden="1" customHeight="1" x14ac:dyDescent="0.25">
      <c r="A236" s="83">
        <v>16</v>
      </c>
      <c r="B236" s="83" t="s">
        <v>402</v>
      </c>
      <c r="C236" s="60" t="s">
        <v>82</v>
      </c>
      <c r="D236" s="60" t="e">
        <v>#N/A</v>
      </c>
      <c r="E236" s="60" t="e">
        <v>#N/A</v>
      </c>
      <c r="F236" s="60">
        <v>0</v>
      </c>
      <c r="G236" s="60">
        <v>0</v>
      </c>
      <c r="H236" s="60">
        <v>0</v>
      </c>
      <c r="I236" s="60" t="e">
        <v>#N/A</v>
      </c>
      <c r="J236" s="60">
        <v>0</v>
      </c>
      <c r="K236" s="60">
        <v>0</v>
      </c>
      <c r="L236" s="60" t="s">
        <v>18</v>
      </c>
      <c r="M236" s="60"/>
      <c r="N236" s="83" t="str">
        <f>VLOOKUP(B236,Hoja1!$B$1:$C$25,2,0)</f>
        <v>LEONARDO PINZON URIBE</v>
      </c>
      <c r="O236" s="1" t="e">
        <f t="shared" si="0"/>
        <v>#REF!</v>
      </c>
    </row>
    <row r="237" spans="1:15" ht="15.75" hidden="1" customHeight="1" x14ac:dyDescent="0.25">
      <c r="A237" s="83">
        <v>17</v>
      </c>
      <c r="B237" s="83" t="s">
        <v>402</v>
      </c>
      <c r="C237" s="60" t="s">
        <v>82</v>
      </c>
      <c r="D237" s="60">
        <v>0</v>
      </c>
      <c r="E237" s="60">
        <v>0</v>
      </c>
      <c r="F237" s="60">
        <v>0</v>
      </c>
      <c r="G237" s="60">
        <v>0</v>
      </c>
      <c r="H237" s="60">
        <v>0</v>
      </c>
      <c r="I237" s="60">
        <v>0</v>
      </c>
      <c r="J237" s="60">
        <v>0</v>
      </c>
      <c r="K237" s="60">
        <v>5</v>
      </c>
      <c r="L237" s="60">
        <f t="shared" ref="L237:L239" si="27">I237-J237</f>
        <v>0</v>
      </c>
      <c r="M237" s="60"/>
      <c r="N237" s="83" t="str">
        <f>VLOOKUP(B237,Hoja1!$B$1:$C$25,2,0)</f>
        <v>LEONARDO PINZON URIBE</v>
      </c>
      <c r="O237" s="1" t="e">
        <f t="shared" si="0"/>
        <v>#REF!</v>
      </c>
    </row>
    <row r="238" spans="1:15" ht="15.75" hidden="1" customHeight="1" x14ac:dyDescent="0.25">
      <c r="A238" s="83">
        <v>50</v>
      </c>
      <c r="B238" s="83" t="s">
        <v>402</v>
      </c>
      <c r="C238" s="60" t="s">
        <v>82</v>
      </c>
      <c r="D238" s="60">
        <v>206</v>
      </c>
      <c r="E238" s="60">
        <v>21</v>
      </c>
      <c r="F238" s="60">
        <v>220</v>
      </c>
      <c r="G238" s="60">
        <v>0</v>
      </c>
      <c r="H238" s="60">
        <v>7</v>
      </c>
      <c r="I238" s="60">
        <v>454</v>
      </c>
      <c r="J238" s="60">
        <v>0</v>
      </c>
      <c r="K238" s="60">
        <v>1</v>
      </c>
      <c r="L238" s="60">
        <f t="shared" si="27"/>
        <v>454</v>
      </c>
      <c r="M238" s="84">
        <v>45016</v>
      </c>
      <c r="N238" s="83" t="str">
        <f>VLOOKUP(B238,Hoja1!$B$1:$C$25,2,0)</f>
        <v>LEONARDO PINZON URIBE</v>
      </c>
      <c r="O238" s="1" t="e">
        <f t="shared" si="0"/>
        <v>#REF!</v>
      </c>
    </row>
    <row r="239" spans="1:15" ht="15.75" hidden="1" customHeight="1" x14ac:dyDescent="0.25">
      <c r="A239" s="83">
        <v>219</v>
      </c>
      <c r="B239" s="83" t="s">
        <v>402</v>
      </c>
      <c r="C239" s="60" t="s">
        <v>82</v>
      </c>
      <c r="D239" s="60">
        <v>31</v>
      </c>
      <c r="E239" s="60">
        <v>49</v>
      </c>
      <c r="F239" s="60">
        <v>0</v>
      </c>
      <c r="G239" s="60">
        <v>0</v>
      </c>
      <c r="H239" s="60">
        <v>0</v>
      </c>
      <c r="I239" s="60">
        <v>80</v>
      </c>
      <c r="J239" s="60">
        <v>0</v>
      </c>
      <c r="K239" s="60">
        <v>0</v>
      </c>
      <c r="L239" s="60">
        <f t="shared" si="27"/>
        <v>80</v>
      </c>
      <c r="M239" s="84">
        <v>44985</v>
      </c>
      <c r="N239" s="83" t="str">
        <f>VLOOKUP(B239,Hoja1!$B$1:$C$25,2,0)</f>
        <v>LEONARDO PINZON URIBE</v>
      </c>
      <c r="O239" s="1" t="e">
        <f t="shared" si="0"/>
        <v>#REF!</v>
      </c>
    </row>
    <row r="240" spans="1:15" ht="15.75" hidden="1" customHeight="1" x14ac:dyDescent="0.25">
      <c r="A240" s="83">
        <v>267</v>
      </c>
      <c r="B240" s="83" t="s">
        <v>402</v>
      </c>
      <c r="C240" s="60" t="s">
        <v>45</v>
      </c>
      <c r="D240" s="60">
        <v>0</v>
      </c>
      <c r="E240" s="60">
        <v>25</v>
      </c>
      <c r="F240" s="60">
        <v>0</v>
      </c>
      <c r="G240" s="60">
        <v>0</v>
      </c>
      <c r="H240" s="60">
        <v>0</v>
      </c>
      <c r="I240" s="60">
        <v>25</v>
      </c>
      <c r="J240" s="60">
        <v>0</v>
      </c>
      <c r="K240" s="60">
        <v>0</v>
      </c>
      <c r="L240" s="60">
        <v>0</v>
      </c>
      <c r="M240" s="60"/>
      <c r="N240" s="83" t="str">
        <f>VLOOKUP(B240,Hoja1!$B$1:$C$25,2,0)</f>
        <v>LEONARDO PINZON URIBE</v>
      </c>
      <c r="O240" s="1" t="e">
        <f t="shared" si="0"/>
        <v>#REF!</v>
      </c>
    </row>
    <row r="241" spans="1:15" ht="15.75" hidden="1" customHeight="1" x14ac:dyDescent="0.25">
      <c r="A241" s="83">
        <v>293</v>
      </c>
      <c r="B241" s="83" t="s">
        <v>402</v>
      </c>
      <c r="C241" s="60" t="s">
        <v>462</v>
      </c>
      <c r="D241" s="60" t="e">
        <v>#N/A</v>
      </c>
      <c r="E241" s="60" t="e">
        <v>#N/A</v>
      </c>
      <c r="F241" s="60">
        <v>0</v>
      </c>
      <c r="G241" s="60">
        <v>0</v>
      </c>
      <c r="H241" s="60">
        <v>0</v>
      </c>
      <c r="I241" s="60" t="e">
        <v>#N/A</v>
      </c>
      <c r="J241" s="60">
        <v>0</v>
      </c>
      <c r="K241" s="60">
        <v>0</v>
      </c>
      <c r="L241" s="60">
        <v>0</v>
      </c>
      <c r="M241" s="60"/>
      <c r="N241" s="83" t="str">
        <f>VLOOKUP(B241,Hoja1!$B$1:$C$25,2,0)</f>
        <v>LEONARDO PINZON URIBE</v>
      </c>
      <c r="O241" s="1" t="e">
        <f t="shared" si="0"/>
        <v>#REF!</v>
      </c>
    </row>
    <row r="242" spans="1:15" ht="15.75" hidden="1" customHeight="1" x14ac:dyDescent="0.25">
      <c r="A242" s="83">
        <v>295</v>
      </c>
      <c r="B242" s="83" t="s">
        <v>402</v>
      </c>
      <c r="C242" s="60" t="s">
        <v>45</v>
      </c>
      <c r="D242" s="60">
        <v>154</v>
      </c>
      <c r="E242" s="60">
        <v>1</v>
      </c>
      <c r="F242" s="60">
        <v>145</v>
      </c>
      <c r="G242" s="60">
        <v>0</v>
      </c>
      <c r="H242" s="60">
        <v>10</v>
      </c>
      <c r="I242" s="60">
        <v>310</v>
      </c>
      <c r="J242" s="60">
        <v>0</v>
      </c>
      <c r="K242" s="60">
        <v>0</v>
      </c>
      <c r="L242" s="60">
        <f t="shared" ref="L242:L243" si="28">I242-J242</f>
        <v>310</v>
      </c>
      <c r="M242" s="84">
        <v>45046</v>
      </c>
      <c r="N242" s="83" t="str">
        <f>VLOOKUP(B242,Hoja1!$B$1:$C$25,2,0)</f>
        <v>LEONARDO PINZON URIBE</v>
      </c>
      <c r="O242" s="1" t="e">
        <f t="shared" si="0"/>
        <v>#REF!</v>
      </c>
    </row>
    <row r="243" spans="1:15" ht="15.75" hidden="1" customHeight="1" x14ac:dyDescent="0.25">
      <c r="A243" s="83">
        <v>304</v>
      </c>
      <c r="B243" s="83" t="s">
        <v>402</v>
      </c>
      <c r="C243" s="60" t="s">
        <v>82</v>
      </c>
      <c r="D243" s="60">
        <v>76</v>
      </c>
      <c r="E243" s="60">
        <v>37</v>
      </c>
      <c r="F243" s="60">
        <v>102</v>
      </c>
      <c r="G243" s="60">
        <v>0</v>
      </c>
      <c r="H243" s="60">
        <v>11</v>
      </c>
      <c r="I243" s="60">
        <v>226</v>
      </c>
      <c r="J243" s="60">
        <v>0</v>
      </c>
      <c r="K243" s="60">
        <v>1</v>
      </c>
      <c r="L243" s="60">
        <f t="shared" si="28"/>
        <v>226</v>
      </c>
      <c r="M243" s="84">
        <v>45000</v>
      </c>
      <c r="N243" s="83" t="str">
        <f>VLOOKUP(B243,Hoja1!$B$1:$C$25,2,0)</f>
        <v>LEONARDO PINZON URIBE</v>
      </c>
      <c r="O243" s="1" t="e">
        <f t="shared" si="0"/>
        <v>#REF!</v>
      </c>
    </row>
    <row r="244" spans="1:15" ht="15.75" hidden="1" customHeight="1" x14ac:dyDescent="0.25">
      <c r="A244" s="83">
        <v>307</v>
      </c>
      <c r="B244" s="83" t="s">
        <v>402</v>
      </c>
      <c r="C244" s="60" t="s">
        <v>45</v>
      </c>
      <c r="D244" s="60">
        <v>51</v>
      </c>
      <c r="E244" s="60">
        <v>54</v>
      </c>
      <c r="F244" s="60">
        <v>105</v>
      </c>
      <c r="G244" s="60">
        <v>0</v>
      </c>
      <c r="H244" s="60">
        <v>0</v>
      </c>
      <c r="I244" s="60">
        <v>210</v>
      </c>
      <c r="J244" s="60">
        <v>0</v>
      </c>
      <c r="K244" s="60">
        <v>0</v>
      </c>
      <c r="L244" s="60">
        <v>1</v>
      </c>
      <c r="M244" s="60"/>
      <c r="N244" s="83" t="str">
        <f>VLOOKUP(B244,Hoja1!$B$1:$C$25,2,0)</f>
        <v>LEONARDO PINZON URIBE</v>
      </c>
      <c r="O244" s="1" t="e">
        <f t="shared" si="0"/>
        <v>#REF!</v>
      </c>
    </row>
    <row r="245" spans="1:15" ht="15.75" hidden="1" customHeight="1" x14ac:dyDescent="0.25">
      <c r="A245" s="83" t="s">
        <v>403</v>
      </c>
      <c r="B245" s="83" t="s">
        <v>402</v>
      </c>
      <c r="C245" s="60" t="s">
        <v>82</v>
      </c>
      <c r="D245" s="60">
        <v>569</v>
      </c>
      <c r="E245" s="60">
        <v>87</v>
      </c>
      <c r="F245" s="60">
        <v>0</v>
      </c>
      <c r="G245" s="60">
        <v>0</v>
      </c>
      <c r="H245" s="60">
        <v>0</v>
      </c>
      <c r="I245" s="60">
        <v>656</v>
      </c>
      <c r="J245" s="60">
        <v>0</v>
      </c>
      <c r="K245" s="60">
        <v>4</v>
      </c>
      <c r="L245" s="60">
        <f t="shared" ref="L245:L268" si="29">I245-J245</f>
        <v>656</v>
      </c>
      <c r="M245" s="84">
        <v>45016</v>
      </c>
      <c r="N245" s="83" t="str">
        <f>VLOOKUP(B245,Hoja1!$B$1:$C$25,2,0)</f>
        <v>LEONARDO PINZON URIBE</v>
      </c>
      <c r="O245" s="1" t="e">
        <f t="shared" si="0"/>
        <v>#REF!</v>
      </c>
    </row>
    <row r="246" spans="1:15" ht="15.75" hidden="1" customHeight="1" x14ac:dyDescent="0.25">
      <c r="A246" s="83" t="s">
        <v>404</v>
      </c>
      <c r="B246" s="83" t="s">
        <v>402</v>
      </c>
      <c r="C246" s="60" t="s">
        <v>82</v>
      </c>
      <c r="D246" s="60">
        <v>116</v>
      </c>
      <c r="E246" s="60">
        <v>69</v>
      </c>
      <c r="F246" s="60">
        <v>0</v>
      </c>
      <c r="G246" s="60">
        <v>0</v>
      </c>
      <c r="H246" s="60">
        <v>0</v>
      </c>
      <c r="I246" s="60">
        <v>185</v>
      </c>
      <c r="J246" s="60">
        <v>0</v>
      </c>
      <c r="K246" s="60">
        <v>2</v>
      </c>
      <c r="L246" s="60">
        <f t="shared" si="29"/>
        <v>185</v>
      </c>
      <c r="M246" s="84">
        <v>45000</v>
      </c>
      <c r="N246" s="83" t="str">
        <f>VLOOKUP(B246,Hoja1!$B$1:$C$25,2,0)</f>
        <v>LEONARDO PINZON URIBE</v>
      </c>
      <c r="O246" s="1" t="e">
        <f t="shared" si="0"/>
        <v>#REF!</v>
      </c>
    </row>
    <row r="247" spans="1:15" ht="15.75" hidden="1" customHeight="1" x14ac:dyDescent="0.25">
      <c r="A247" s="83" t="s">
        <v>405</v>
      </c>
      <c r="B247" s="83" t="s">
        <v>402</v>
      </c>
      <c r="C247" s="60" t="s">
        <v>82</v>
      </c>
      <c r="D247" s="60">
        <v>307</v>
      </c>
      <c r="E247" s="60">
        <v>467</v>
      </c>
      <c r="F247" s="60">
        <v>586</v>
      </c>
      <c r="G247" s="60">
        <v>0</v>
      </c>
      <c r="H247" s="60">
        <v>188</v>
      </c>
      <c r="I247" s="60">
        <v>1548</v>
      </c>
      <c r="J247" s="60">
        <v>0</v>
      </c>
      <c r="K247" s="60">
        <v>3</v>
      </c>
      <c r="L247" s="60">
        <f t="shared" si="29"/>
        <v>1548</v>
      </c>
      <c r="M247" s="84">
        <v>45046</v>
      </c>
      <c r="N247" s="83" t="str">
        <f>VLOOKUP(B247,Hoja1!$B$1:$C$25,2,0)</f>
        <v>LEONARDO PINZON URIBE</v>
      </c>
      <c r="O247" s="1" t="e">
        <f t="shared" si="0"/>
        <v>#REF!</v>
      </c>
    </row>
    <row r="248" spans="1:15" ht="15.75" hidden="1" customHeight="1" x14ac:dyDescent="0.25">
      <c r="A248" s="83">
        <v>59</v>
      </c>
      <c r="B248" s="83" t="s">
        <v>419</v>
      </c>
      <c r="C248" s="60" t="s">
        <v>82</v>
      </c>
      <c r="D248" s="60">
        <v>189</v>
      </c>
      <c r="E248" s="60">
        <v>57</v>
      </c>
      <c r="F248" s="60">
        <v>0</v>
      </c>
      <c r="G248" s="60">
        <v>0</v>
      </c>
      <c r="H248" s="60">
        <v>0</v>
      </c>
      <c r="I248" s="60">
        <v>246</v>
      </c>
      <c r="J248" s="60">
        <v>51</v>
      </c>
      <c r="K248" s="60">
        <v>2</v>
      </c>
      <c r="L248" s="60">
        <f t="shared" si="29"/>
        <v>195</v>
      </c>
      <c r="M248" s="84">
        <v>44985</v>
      </c>
      <c r="N248" s="83" t="str">
        <f>VLOOKUP(B248,Hoja1!$B$1:$C$25,2,0)</f>
        <v>EDGAR JAVIER CASTAÑEDA GIL</v>
      </c>
      <c r="O248" s="1" t="e">
        <f t="shared" si="0"/>
        <v>#REF!</v>
      </c>
    </row>
    <row r="249" spans="1:15" ht="15.75" hidden="1" customHeight="1" x14ac:dyDescent="0.25">
      <c r="A249" s="83">
        <v>60</v>
      </c>
      <c r="B249" s="83" t="s">
        <v>419</v>
      </c>
      <c r="C249" s="60" t="s">
        <v>82</v>
      </c>
      <c r="D249" s="60">
        <v>30</v>
      </c>
      <c r="E249" s="60">
        <v>1</v>
      </c>
      <c r="F249" s="60">
        <v>0</v>
      </c>
      <c r="G249" s="60">
        <v>0</v>
      </c>
      <c r="H249" s="60">
        <v>0</v>
      </c>
      <c r="I249" s="60">
        <v>31</v>
      </c>
      <c r="J249" s="60">
        <v>46</v>
      </c>
      <c r="K249" s="60">
        <v>1</v>
      </c>
      <c r="L249" s="60">
        <f t="shared" si="29"/>
        <v>-15</v>
      </c>
      <c r="M249" s="60"/>
      <c r="N249" s="83" t="str">
        <f>VLOOKUP(B249,Hoja1!$B$1:$C$25,2,0)</f>
        <v>EDGAR JAVIER CASTAÑEDA GIL</v>
      </c>
      <c r="O249" s="1" t="e">
        <f t="shared" si="0"/>
        <v>#REF!</v>
      </c>
    </row>
    <row r="250" spans="1:15" ht="15.75" hidden="1" customHeight="1" x14ac:dyDescent="0.25">
      <c r="A250" s="83">
        <v>131</v>
      </c>
      <c r="B250" s="83" t="s">
        <v>419</v>
      </c>
      <c r="C250" s="60" t="s">
        <v>82</v>
      </c>
      <c r="D250" s="60">
        <v>286</v>
      </c>
      <c r="E250" s="60">
        <v>139</v>
      </c>
      <c r="F250" s="60">
        <v>0</v>
      </c>
      <c r="G250" s="60">
        <v>0</v>
      </c>
      <c r="H250" s="60">
        <v>0</v>
      </c>
      <c r="I250" s="60">
        <v>425</v>
      </c>
      <c r="J250" s="60">
        <v>0</v>
      </c>
      <c r="K250" s="60">
        <v>3</v>
      </c>
      <c r="L250" s="60">
        <f t="shared" si="29"/>
        <v>425</v>
      </c>
      <c r="M250" s="84">
        <v>45000</v>
      </c>
      <c r="N250" s="83" t="str">
        <f>VLOOKUP(B250,Hoja1!$B$1:$C$25,2,0)</f>
        <v>EDGAR JAVIER CASTAÑEDA GIL</v>
      </c>
      <c r="O250" s="1" t="e">
        <f t="shared" si="0"/>
        <v>#REF!</v>
      </c>
    </row>
    <row r="251" spans="1:15" ht="15.75" hidden="1" customHeight="1" x14ac:dyDescent="0.25">
      <c r="A251" s="83">
        <v>132</v>
      </c>
      <c r="B251" s="83" t="s">
        <v>419</v>
      </c>
      <c r="C251" s="60" t="s">
        <v>82</v>
      </c>
      <c r="D251" s="60">
        <v>102</v>
      </c>
      <c r="E251" s="60">
        <v>30</v>
      </c>
      <c r="F251" s="60">
        <v>0</v>
      </c>
      <c r="G251" s="60">
        <v>0</v>
      </c>
      <c r="H251" s="60">
        <v>0</v>
      </c>
      <c r="I251" s="60">
        <v>132</v>
      </c>
      <c r="J251" s="60">
        <v>6</v>
      </c>
      <c r="K251" s="60">
        <v>1</v>
      </c>
      <c r="L251" s="60">
        <f t="shared" si="29"/>
        <v>126</v>
      </c>
      <c r="M251" s="84">
        <v>44985</v>
      </c>
      <c r="N251" s="83" t="str">
        <f>VLOOKUP(B251,Hoja1!$B$1:$C$25,2,0)</f>
        <v>EDGAR JAVIER CASTAÑEDA GIL</v>
      </c>
      <c r="O251" s="1" t="e">
        <f t="shared" si="0"/>
        <v>#REF!</v>
      </c>
    </row>
    <row r="252" spans="1:15" ht="15.75" hidden="1" customHeight="1" x14ac:dyDescent="0.25">
      <c r="A252" s="83">
        <v>138</v>
      </c>
      <c r="B252" s="83" t="s">
        <v>419</v>
      </c>
      <c r="C252" s="60" t="s">
        <v>82</v>
      </c>
      <c r="D252" s="60">
        <v>34</v>
      </c>
      <c r="E252" s="60">
        <v>60</v>
      </c>
      <c r="F252" s="60">
        <v>0</v>
      </c>
      <c r="G252" s="60">
        <v>0</v>
      </c>
      <c r="H252" s="60">
        <v>0</v>
      </c>
      <c r="I252" s="60">
        <v>94</v>
      </c>
      <c r="J252" s="60">
        <v>5</v>
      </c>
      <c r="K252" s="60">
        <v>1</v>
      </c>
      <c r="L252" s="60">
        <f t="shared" si="29"/>
        <v>89</v>
      </c>
      <c r="M252" s="84">
        <v>44985</v>
      </c>
      <c r="N252" s="83" t="str">
        <f>VLOOKUP(B252,Hoja1!$B$1:$C$25,2,0)</f>
        <v>EDGAR JAVIER CASTAÑEDA GIL</v>
      </c>
      <c r="O252" s="1" t="e">
        <f t="shared" si="0"/>
        <v>#REF!</v>
      </c>
    </row>
    <row r="253" spans="1:15" ht="15.75" hidden="1" customHeight="1" x14ac:dyDescent="0.25">
      <c r="A253" s="83">
        <v>197</v>
      </c>
      <c r="B253" s="83" t="s">
        <v>419</v>
      </c>
      <c r="C253" s="60" t="s">
        <v>82</v>
      </c>
      <c r="D253" s="60">
        <v>368</v>
      </c>
      <c r="E253" s="60">
        <v>142</v>
      </c>
      <c r="F253" s="60">
        <v>0</v>
      </c>
      <c r="G253" s="60">
        <v>0</v>
      </c>
      <c r="H253" s="60">
        <v>0</v>
      </c>
      <c r="I253" s="60">
        <v>510</v>
      </c>
      <c r="J253" s="60">
        <v>78</v>
      </c>
      <c r="K253" s="60">
        <v>3</v>
      </c>
      <c r="L253" s="60">
        <f t="shared" si="29"/>
        <v>432</v>
      </c>
      <c r="M253" s="84">
        <v>45000</v>
      </c>
      <c r="N253" s="83" t="str">
        <f>VLOOKUP(B253,Hoja1!$B$1:$C$25,2,0)</f>
        <v>EDGAR JAVIER CASTAÑEDA GIL</v>
      </c>
      <c r="O253" s="1" t="e">
        <f t="shared" si="0"/>
        <v>#REF!</v>
      </c>
    </row>
    <row r="254" spans="1:15" ht="15.75" hidden="1" customHeight="1" x14ac:dyDescent="0.25">
      <c r="A254" s="83">
        <v>232</v>
      </c>
      <c r="B254" s="83" t="s">
        <v>419</v>
      </c>
      <c r="C254" s="60" t="s">
        <v>45</v>
      </c>
      <c r="D254" s="60">
        <v>16</v>
      </c>
      <c r="E254" s="60">
        <v>11</v>
      </c>
      <c r="F254" s="60">
        <v>0</v>
      </c>
      <c r="G254" s="60">
        <v>0</v>
      </c>
      <c r="H254" s="60">
        <v>0</v>
      </c>
      <c r="I254" s="60">
        <v>27</v>
      </c>
      <c r="J254" s="60">
        <v>0</v>
      </c>
      <c r="K254" s="60">
        <v>0</v>
      </c>
      <c r="L254" s="60">
        <f t="shared" si="29"/>
        <v>27</v>
      </c>
      <c r="M254" s="84">
        <v>44985</v>
      </c>
      <c r="N254" s="83" t="str">
        <f>VLOOKUP(B254,Hoja1!$B$1:$C$25,2,0)</f>
        <v>EDGAR JAVIER CASTAÑEDA GIL</v>
      </c>
      <c r="O254" s="1" t="e">
        <f t="shared" si="0"/>
        <v>#REF!</v>
      </c>
    </row>
    <row r="255" spans="1:15" ht="15.75" hidden="1" customHeight="1" x14ac:dyDescent="0.25">
      <c r="A255" s="83">
        <v>246</v>
      </c>
      <c r="B255" s="83" t="s">
        <v>419</v>
      </c>
      <c r="C255" s="60" t="s">
        <v>82</v>
      </c>
      <c r="D255" s="60">
        <v>3</v>
      </c>
      <c r="E255" s="60">
        <v>0</v>
      </c>
      <c r="F255" s="60">
        <v>0</v>
      </c>
      <c r="G255" s="60">
        <v>0</v>
      </c>
      <c r="H255" s="60">
        <v>0</v>
      </c>
      <c r="I255" s="60">
        <v>3</v>
      </c>
      <c r="J255" s="60">
        <v>2</v>
      </c>
      <c r="K255" s="60">
        <v>0</v>
      </c>
      <c r="L255" s="60">
        <f t="shared" si="29"/>
        <v>1</v>
      </c>
      <c r="M255" s="84">
        <v>44985</v>
      </c>
      <c r="N255" s="83" t="str">
        <f>VLOOKUP(B255,Hoja1!$B$1:$C$25,2,0)</f>
        <v>EDGAR JAVIER CASTAÑEDA GIL</v>
      </c>
      <c r="O255" s="1" t="e">
        <f t="shared" si="0"/>
        <v>#REF!</v>
      </c>
    </row>
    <row r="256" spans="1:15" ht="15.75" hidden="1" customHeight="1" x14ac:dyDescent="0.25">
      <c r="A256" s="83" t="s">
        <v>420</v>
      </c>
      <c r="B256" s="83" t="s">
        <v>419</v>
      </c>
      <c r="C256" s="60" t="s">
        <v>82</v>
      </c>
      <c r="D256" s="60">
        <v>333</v>
      </c>
      <c r="E256" s="60">
        <v>293</v>
      </c>
      <c r="F256" s="60">
        <v>0</v>
      </c>
      <c r="G256" s="60">
        <v>0</v>
      </c>
      <c r="H256" s="60">
        <v>0</v>
      </c>
      <c r="I256" s="60">
        <v>626</v>
      </c>
      <c r="J256" s="60">
        <v>38</v>
      </c>
      <c r="K256" s="60">
        <v>3</v>
      </c>
      <c r="L256" s="60">
        <f t="shared" si="29"/>
        <v>588</v>
      </c>
      <c r="M256" s="84">
        <v>45000</v>
      </c>
      <c r="N256" s="83" t="str">
        <f>VLOOKUP(B256,Hoja1!$B$1:$C$25,2,0)</f>
        <v>EDGAR JAVIER CASTAÑEDA GIL</v>
      </c>
      <c r="O256" s="1" t="e">
        <f t="shared" si="0"/>
        <v>#REF!</v>
      </c>
    </row>
    <row r="257" spans="1:15" ht="15.75" hidden="1" customHeight="1" x14ac:dyDescent="0.25">
      <c r="A257" s="83" t="s">
        <v>421</v>
      </c>
      <c r="B257" s="83" t="s">
        <v>419</v>
      </c>
      <c r="C257" s="60" t="s">
        <v>82</v>
      </c>
      <c r="D257" s="60">
        <v>135</v>
      </c>
      <c r="E257" s="60">
        <v>240</v>
      </c>
      <c r="F257" s="60">
        <v>0</v>
      </c>
      <c r="G257" s="60">
        <v>0</v>
      </c>
      <c r="H257" s="60">
        <v>0</v>
      </c>
      <c r="I257" s="60">
        <v>375</v>
      </c>
      <c r="J257" s="60">
        <v>0</v>
      </c>
      <c r="K257" s="60">
        <v>2</v>
      </c>
      <c r="L257" s="60">
        <f t="shared" si="29"/>
        <v>375</v>
      </c>
      <c r="M257" s="84">
        <v>45000</v>
      </c>
      <c r="N257" s="83" t="str">
        <f>VLOOKUP(B257,Hoja1!$B$1:$C$25,2,0)</f>
        <v>EDGAR JAVIER CASTAÑEDA GIL</v>
      </c>
      <c r="O257" s="1" t="e">
        <f t="shared" ref="O257:O371" si="30">VLOOKUP(A257,#REF!,22,0)</f>
        <v>#REF!</v>
      </c>
    </row>
    <row r="258" spans="1:15" ht="15.75" hidden="1" customHeight="1" x14ac:dyDescent="0.25">
      <c r="A258" s="83" t="s">
        <v>422</v>
      </c>
      <c r="B258" s="83" t="s">
        <v>419</v>
      </c>
      <c r="C258" s="60" t="s">
        <v>82</v>
      </c>
      <c r="D258" s="60">
        <v>290</v>
      </c>
      <c r="E258" s="60">
        <v>190</v>
      </c>
      <c r="F258" s="60">
        <v>0</v>
      </c>
      <c r="G258" s="60">
        <v>0</v>
      </c>
      <c r="H258" s="60">
        <v>0</v>
      </c>
      <c r="I258" s="60">
        <v>480</v>
      </c>
      <c r="J258" s="60">
        <v>0</v>
      </c>
      <c r="K258" s="60">
        <v>3</v>
      </c>
      <c r="L258" s="60">
        <f t="shared" si="29"/>
        <v>480</v>
      </c>
      <c r="M258" s="84">
        <v>44985</v>
      </c>
      <c r="N258" s="83" t="str">
        <f>VLOOKUP(B258,Hoja1!$B$1:$C$25,2,0)</f>
        <v>EDGAR JAVIER CASTAÑEDA GIL</v>
      </c>
      <c r="O258" s="1" t="e">
        <f t="shared" si="30"/>
        <v>#REF!</v>
      </c>
    </row>
    <row r="259" spans="1:15" ht="15.75" hidden="1" customHeight="1" x14ac:dyDescent="0.25">
      <c r="A259" s="83" t="s">
        <v>423</v>
      </c>
      <c r="B259" s="83" t="s">
        <v>419</v>
      </c>
      <c r="C259" s="60" t="s">
        <v>82</v>
      </c>
      <c r="D259" s="60">
        <v>210</v>
      </c>
      <c r="E259" s="60">
        <v>155</v>
      </c>
      <c r="F259" s="60">
        <v>0</v>
      </c>
      <c r="G259" s="60">
        <v>0</v>
      </c>
      <c r="H259" s="60">
        <v>0</v>
      </c>
      <c r="I259" s="60">
        <v>365</v>
      </c>
      <c r="J259" s="60">
        <v>320</v>
      </c>
      <c r="K259" s="60">
        <v>2</v>
      </c>
      <c r="L259" s="60">
        <f t="shared" si="29"/>
        <v>45</v>
      </c>
      <c r="M259" s="84">
        <v>44985</v>
      </c>
      <c r="N259" s="83" t="str">
        <f>VLOOKUP(B259,Hoja1!$B$1:$C$25,2,0)</f>
        <v>EDGAR JAVIER CASTAÑEDA GIL</v>
      </c>
      <c r="O259" s="1" t="e">
        <f t="shared" si="30"/>
        <v>#REF!</v>
      </c>
    </row>
    <row r="260" spans="1:15" ht="15.75" hidden="1" customHeight="1" x14ac:dyDescent="0.25">
      <c r="A260" s="83" t="s">
        <v>424</v>
      </c>
      <c r="B260" s="83" t="s">
        <v>419</v>
      </c>
      <c r="C260" s="60" t="s">
        <v>82</v>
      </c>
      <c r="D260" s="60">
        <v>239</v>
      </c>
      <c r="E260" s="60">
        <v>85</v>
      </c>
      <c r="F260" s="60">
        <v>0</v>
      </c>
      <c r="G260" s="60">
        <v>0</v>
      </c>
      <c r="H260" s="60">
        <v>0</v>
      </c>
      <c r="I260" s="60">
        <v>324</v>
      </c>
      <c r="J260" s="60">
        <v>500</v>
      </c>
      <c r="K260" s="60">
        <v>2</v>
      </c>
      <c r="L260" s="60">
        <f t="shared" si="29"/>
        <v>-176</v>
      </c>
      <c r="M260" s="60"/>
      <c r="N260" s="83" t="str">
        <f>VLOOKUP(B260,Hoja1!$B$1:$C$25,2,0)</f>
        <v>EDGAR JAVIER CASTAÑEDA GIL</v>
      </c>
      <c r="O260" s="1" t="e">
        <f t="shared" si="30"/>
        <v>#REF!</v>
      </c>
    </row>
    <row r="261" spans="1:15" ht="15.75" hidden="1" customHeight="1" x14ac:dyDescent="0.25">
      <c r="A261" s="83">
        <v>330</v>
      </c>
      <c r="B261" s="83" t="s">
        <v>419</v>
      </c>
      <c r="C261" s="60"/>
      <c r="D261" s="60"/>
      <c r="E261" s="60"/>
      <c r="F261" s="60"/>
      <c r="G261" s="60"/>
      <c r="H261" s="60"/>
      <c r="I261" s="60"/>
      <c r="J261" s="60">
        <v>56</v>
      </c>
      <c r="K261" s="60"/>
      <c r="L261" s="60">
        <f t="shared" si="29"/>
        <v>-56</v>
      </c>
      <c r="M261" s="60"/>
      <c r="N261" s="83" t="str">
        <f>VLOOKUP(B261,Hoja1!$B$1:$C$25,2,0)</f>
        <v>EDGAR JAVIER CASTAÑEDA GIL</v>
      </c>
      <c r="O261" s="1" t="e">
        <f t="shared" si="30"/>
        <v>#REF!</v>
      </c>
    </row>
    <row r="262" spans="1:15" ht="15.75" hidden="1" customHeight="1" x14ac:dyDescent="0.25">
      <c r="A262" s="83">
        <v>65</v>
      </c>
      <c r="B262" s="83" t="s">
        <v>406</v>
      </c>
      <c r="C262" s="60" t="s">
        <v>82</v>
      </c>
      <c r="D262" s="60">
        <v>65</v>
      </c>
      <c r="E262" s="60">
        <v>49</v>
      </c>
      <c r="F262" s="60">
        <v>35</v>
      </c>
      <c r="G262" s="60">
        <v>85</v>
      </c>
      <c r="H262" s="60">
        <v>114</v>
      </c>
      <c r="I262" s="60">
        <v>348</v>
      </c>
      <c r="J262" s="60">
        <v>136</v>
      </c>
      <c r="K262" s="60">
        <v>2</v>
      </c>
      <c r="L262" s="60">
        <f t="shared" si="29"/>
        <v>212</v>
      </c>
      <c r="M262" s="84">
        <v>45000</v>
      </c>
      <c r="N262" s="83" t="str">
        <f>VLOOKUP(B262,Hoja1!$B$1:$C$25,2,0)</f>
        <v>EDGAR JAVIER CASTAÑEDA GIL</v>
      </c>
      <c r="O262" s="1" t="e">
        <f t="shared" si="30"/>
        <v>#REF!</v>
      </c>
    </row>
    <row r="263" spans="1:15" ht="15.75" hidden="1" customHeight="1" x14ac:dyDescent="0.25">
      <c r="A263" s="83">
        <v>66</v>
      </c>
      <c r="B263" s="83" t="s">
        <v>406</v>
      </c>
      <c r="C263" s="60" t="s">
        <v>82</v>
      </c>
      <c r="D263" s="60">
        <v>272</v>
      </c>
      <c r="E263" s="60">
        <v>130</v>
      </c>
      <c r="F263" s="60">
        <v>320</v>
      </c>
      <c r="G263" s="60">
        <v>290</v>
      </c>
      <c r="H263" s="60">
        <v>135</v>
      </c>
      <c r="I263" s="60">
        <v>1147</v>
      </c>
      <c r="J263" s="60">
        <v>359</v>
      </c>
      <c r="K263" s="60">
        <v>5</v>
      </c>
      <c r="L263" s="60">
        <f t="shared" si="29"/>
        <v>788</v>
      </c>
      <c r="M263" s="84">
        <v>45016</v>
      </c>
      <c r="N263" s="83" t="str">
        <f>VLOOKUP(B263,Hoja1!$B$1:$C$25,2,0)</f>
        <v>EDGAR JAVIER CASTAÑEDA GIL</v>
      </c>
      <c r="O263" s="1" t="e">
        <f t="shared" si="30"/>
        <v>#REF!</v>
      </c>
    </row>
    <row r="264" spans="1:15" ht="15.75" hidden="1" customHeight="1" x14ac:dyDescent="0.25">
      <c r="A264" s="83">
        <v>67</v>
      </c>
      <c r="B264" s="83" t="s">
        <v>406</v>
      </c>
      <c r="C264" s="60" t="s">
        <v>82</v>
      </c>
      <c r="D264" s="60">
        <v>50</v>
      </c>
      <c r="E264" s="60">
        <v>103</v>
      </c>
      <c r="F264" s="60">
        <v>37</v>
      </c>
      <c r="G264" s="60">
        <v>108</v>
      </c>
      <c r="H264" s="60">
        <v>8</v>
      </c>
      <c r="I264" s="60">
        <v>306</v>
      </c>
      <c r="J264" s="60">
        <v>0</v>
      </c>
      <c r="K264" s="60">
        <v>1</v>
      </c>
      <c r="L264" s="60">
        <f t="shared" si="29"/>
        <v>306</v>
      </c>
      <c r="M264" s="84">
        <v>45016</v>
      </c>
      <c r="N264" s="83" t="str">
        <f>VLOOKUP(B264,Hoja1!$B$1:$C$25,2,0)</f>
        <v>EDGAR JAVIER CASTAÑEDA GIL</v>
      </c>
      <c r="O264" s="1" t="e">
        <f t="shared" si="30"/>
        <v>#REF!</v>
      </c>
    </row>
    <row r="265" spans="1:15" ht="15.75" hidden="1" customHeight="1" x14ac:dyDescent="0.25">
      <c r="A265" s="83">
        <v>68</v>
      </c>
      <c r="B265" s="83" t="s">
        <v>406</v>
      </c>
      <c r="C265" s="60" t="s">
        <v>82</v>
      </c>
      <c r="D265" s="60">
        <v>268</v>
      </c>
      <c r="E265" s="60">
        <v>151</v>
      </c>
      <c r="F265" s="60">
        <v>1250</v>
      </c>
      <c r="G265" s="60">
        <v>591</v>
      </c>
      <c r="H265" s="60">
        <v>550</v>
      </c>
      <c r="I265" s="60">
        <v>2810</v>
      </c>
      <c r="J265" s="60">
        <v>68</v>
      </c>
      <c r="K265" s="60">
        <v>3</v>
      </c>
      <c r="L265" s="60">
        <f t="shared" si="29"/>
        <v>2742</v>
      </c>
      <c r="M265" s="84">
        <v>45046</v>
      </c>
      <c r="N265" s="83" t="str">
        <f>VLOOKUP(B265,Hoja1!$B$1:$C$25,2,0)</f>
        <v>EDGAR JAVIER CASTAÑEDA GIL</v>
      </c>
      <c r="O265" s="1" t="e">
        <f t="shared" si="30"/>
        <v>#REF!</v>
      </c>
    </row>
    <row r="266" spans="1:15" ht="15.75" hidden="1" customHeight="1" x14ac:dyDescent="0.25">
      <c r="A266" s="83">
        <v>69</v>
      </c>
      <c r="B266" s="83" t="s">
        <v>406</v>
      </c>
      <c r="C266" s="60" t="s">
        <v>45</v>
      </c>
      <c r="D266" s="60">
        <v>39</v>
      </c>
      <c r="E266" s="60">
        <v>27</v>
      </c>
      <c r="F266" s="60">
        <v>76</v>
      </c>
      <c r="G266" s="60">
        <v>15</v>
      </c>
      <c r="H266" s="60">
        <v>25</v>
      </c>
      <c r="I266" s="60">
        <v>182</v>
      </c>
      <c r="J266" s="60">
        <v>0</v>
      </c>
      <c r="K266" s="60">
        <v>0</v>
      </c>
      <c r="L266" s="60">
        <f t="shared" si="29"/>
        <v>182</v>
      </c>
      <c r="M266" s="84">
        <v>45016</v>
      </c>
      <c r="N266" s="83" t="str">
        <f>VLOOKUP(B266,Hoja1!$B$1:$C$25,2,0)</f>
        <v>EDGAR JAVIER CASTAÑEDA GIL</v>
      </c>
      <c r="O266" s="1" t="e">
        <f t="shared" si="30"/>
        <v>#REF!</v>
      </c>
    </row>
    <row r="267" spans="1:15" ht="15.75" hidden="1" customHeight="1" x14ac:dyDescent="0.25">
      <c r="A267" s="83">
        <v>255</v>
      </c>
      <c r="B267" s="83" t="s">
        <v>406</v>
      </c>
      <c r="C267" s="60" t="s">
        <v>82</v>
      </c>
      <c r="D267" s="60">
        <v>82</v>
      </c>
      <c r="E267" s="60">
        <v>188</v>
      </c>
      <c r="F267" s="60">
        <v>2</v>
      </c>
      <c r="G267" s="60">
        <v>15</v>
      </c>
      <c r="H267" s="60">
        <v>40</v>
      </c>
      <c r="I267" s="60">
        <v>327</v>
      </c>
      <c r="J267" s="60">
        <v>115</v>
      </c>
      <c r="K267" s="60">
        <v>1</v>
      </c>
      <c r="L267" s="60">
        <f t="shared" si="29"/>
        <v>212</v>
      </c>
      <c r="M267" s="84">
        <v>45000</v>
      </c>
      <c r="N267" s="83" t="str">
        <f>VLOOKUP(B267,Hoja1!$B$1:$C$25,2,0)</f>
        <v>EDGAR JAVIER CASTAÑEDA GIL</v>
      </c>
      <c r="O267" s="1" t="e">
        <f t="shared" si="30"/>
        <v>#REF!</v>
      </c>
    </row>
    <row r="268" spans="1:15" ht="15.75" hidden="1" customHeight="1" x14ac:dyDescent="0.25">
      <c r="A268" s="83">
        <v>300</v>
      </c>
      <c r="B268" s="83" t="s">
        <v>406</v>
      </c>
      <c r="C268" s="60" t="s">
        <v>82</v>
      </c>
      <c r="D268" s="60">
        <v>90</v>
      </c>
      <c r="E268" s="60">
        <v>29</v>
      </c>
      <c r="F268" s="60">
        <v>50</v>
      </c>
      <c r="G268" s="60">
        <v>30</v>
      </c>
      <c r="H268" s="60">
        <v>25</v>
      </c>
      <c r="I268" s="60">
        <v>224</v>
      </c>
      <c r="J268" s="60">
        <v>39</v>
      </c>
      <c r="K268" s="60">
        <v>1</v>
      </c>
      <c r="L268" s="60">
        <f t="shared" si="29"/>
        <v>185</v>
      </c>
      <c r="M268" s="84">
        <v>45000</v>
      </c>
      <c r="N268" s="83" t="str">
        <f>VLOOKUP(B268,Hoja1!$B$1:$C$25,2,0)</f>
        <v>EDGAR JAVIER CASTAÑEDA GIL</v>
      </c>
      <c r="O268" s="1" t="e">
        <f t="shared" si="30"/>
        <v>#REF!</v>
      </c>
    </row>
    <row r="269" spans="1:15" ht="15.75" hidden="1" customHeight="1" x14ac:dyDescent="0.25">
      <c r="A269" s="83">
        <v>319</v>
      </c>
      <c r="B269" s="83" t="s">
        <v>406</v>
      </c>
      <c r="C269" s="60"/>
      <c r="D269" s="60"/>
      <c r="E269" s="60"/>
      <c r="F269" s="60"/>
      <c r="G269" s="60"/>
      <c r="H269" s="60"/>
      <c r="I269" s="60"/>
      <c r="J269" s="60">
        <v>0</v>
      </c>
      <c r="K269" s="60"/>
      <c r="L269" s="60"/>
      <c r="M269" s="60"/>
      <c r="N269" s="83" t="str">
        <f>VLOOKUP(B269,Hoja1!$B$1:$C$25,2,0)</f>
        <v>EDGAR JAVIER CASTAÑEDA GIL</v>
      </c>
      <c r="O269" s="1" t="e">
        <f t="shared" si="30"/>
        <v>#REF!</v>
      </c>
    </row>
    <row r="270" spans="1:15" ht="15.75" hidden="1" customHeight="1" x14ac:dyDescent="0.25">
      <c r="A270" s="83">
        <v>320</v>
      </c>
      <c r="B270" s="83" t="s">
        <v>406</v>
      </c>
      <c r="C270" s="60"/>
      <c r="D270" s="60"/>
      <c r="E270" s="60"/>
      <c r="F270" s="60"/>
      <c r="G270" s="60"/>
      <c r="H270" s="60"/>
      <c r="I270" s="60"/>
      <c r="J270" s="60">
        <v>0</v>
      </c>
      <c r="K270" s="60"/>
      <c r="L270" s="60"/>
      <c r="M270" s="60"/>
      <c r="N270" s="83" t="str">
        <f>VLOOKUP(B270,Hoja1!$B$1:$C$25,2,0)</f>
        <v>EDGAR JAVIER CASTAÑEDA GIL</v>
      </c>
      <c r="O270" s="1" t="e">
        <f t="shared" si="30"/>
        <v>#REF!</v>
      </c>
    </row>
    <row r="271" spans="1:15" ht="15.75" hidden="1" customHeight="1" x14ac:dyDescent="0.25">
      <c r="A271" s="83">
        <v>321</v>
      </c>
      <c r="B271" s="83" t="s">
        <v>406</v>
      </c>
      <c r="C271" s="60"/>
      <c r="D271" s="60"/>
      <c r="E271" s="60"/>
      <c r="F271" s="60"/>
      <c r="G271" s="60"/>
      <c r="H271" s="60"/>
      <c r="I271" s="60"/>
      <c r="J271" s="60">
        <v>0</v>
      </c>
      <c r="K271" s="60"/>
      <c r="L271" s="60"/>
      <c r="M271" s="60"/>
      <c r="N271" s="83" t="str">
        <f>VLOOKUP(B271,Hoja1!$B$1:$C$25,2,0)</f>
        <v>EDGAR JAVIER CASTAÑEDA GIL</v>
      </c>
      <c r="O271" s="1" t="e">
        <f t="shared" si="30"/>
        <v>#REF!</v>
      </c>
    </row>
    <row r="272" spans="1:15" ht="15.75" hidden="1" customHeight="1" x14ac:dyDescent="0.25">
      <c r="A272" s="83">
        <v>322</v>
      </c>
      <c r="B272" s="83" t="s">
        <v>406</v>
      </c>
      <c r="C272" s="60"/>
      <c r="D272" s="60"/>
      <c r="E272" s="60"/>
      <c r="F272" s="60"/>
      <c r="G272" s="60"/>
      <c r="H272" s="60"/>
      <c r="I272" s="60"/>
      <c r="J272" s="60">
        <v>0</v>
      </c>
      <c r="K272" s="60"/>
      <c r="L272" s="60"/>
      <c r="M272" s="60"/>
      <c r="N272" s="83" t="str">
        <f>VLOOKUP(B272,Hoja1!$B$1:$C$25,2,0)</f>
        <v>EDGAR JAVIER CASTAÑEDA GIL</v>
      </c>
      <c r="O272" s="1" t="e">
        <f t="shared" si="30"/>
        <v>#REF!</v>
      </c>
    </row>
    <row r="273" spans="1:15" ht="15.75" hidden="1" customHeight="1" x14ac:dyDescent="0.25">
      <c r="A273" s="83">
        <v>342</v>
      </c>
      <c r="B273" s="83" t="s">
        <v>406</v>
      </c>
      <c r="C273" s="60"/>
      <c r="D273" s="60"/>
      <c r="E273" s="60"/>
      <c r="F273" s="60"/>
      <c r="G273" s="60"/>
      <c r="H273" s="60"/>
      <c r="I273" s="60"/>
      <c r="J273" s="60">
        <v>0</v>
      </c>
      <c r="K273" s="60"/>
      <c r="L273" s="60"/>
      <c r="M273" s="60"/>
      <c r="N273" s="83" t="str">
        <f>VLOOKUP(B273,Hoja1!$B$1:$C$25,2,0)</f>
        <v>EDGAR JAVIER CASTAÑEDA GIL</v>
      </c>
      <c r="O273" s="1" t="e">
        <f t="shared" si="30"/>
        <v>#REF!</v>
      </c>
    </row>
    <row r="274" spans="1:15" ht="15.75" hidden="1" customHeight="1" x14ac:dyDescent="0.25">
      <c r="A274" s="83" t="s">
        <v>407</v>
      </c>
      <c r="B274" s="83" t="s">
        <v>406</v>
      </c>
      <c r="C274" s="60" t="s">
        <v>82</v>
      </c>
      <c r="D274" s="60">
        <v>262</v>
      </c>
      <c r="E274" s="60">
        <v>132</v>
      </c>
      <c r="F274" s="60">
        <v>320</v>
      </c>
      <c r="G274" s="60">
        <v>290</v>
      </c>
      <c r="H274" s="60">
        <v>140</v>
      </c>
      <c r="I274" s="60">
        <v>1144</v>
      </c>
      <c r="J274" s="60">
        <v>406</v>
      </c>
      <c r="K274" s="60">
        <v>5</v>
      </c>
      <c r="L274" s="60">
        <f t="shared" ref="L274:L277" si="31">I274-J274</f>
        <v>738</v>
      </c>
      <c r="M274" s="84">
        <v>45000</v>
      </c>
      <c r="N274" s="83" t="str">
        <f>VLOOKUP(B274,Hoja1!$B$1:$C$25,2,0)</f>
        <v>EDGAR JAVIER CASTAÑEDA GIL</v>
      </c>
      <c r="O274" s="1" t="e">
        <f t="shared" si="30"/>
        <v>#REF!</v>
      </c>
    </row>
    <row r="275" spans="1:15" ht="15.75" hidden="1" customHeight="1" x14ac:dyDescent="0.25">
      <c r="A275" s="83">
        <v>19</v>
      </c>
      <c r="B275" s="83" t="s">
        <v>408</v>
      </c>
      <c r="C275" s="60" t="s">
        <v>82</v>
      </c>
      <c r="D275" s="60">
        <v>118</v>
      </c>
      <c r="E275" s="60">
        <v>86</v>
      </c>
      <c r="F275" s="60">
        <v>0</v>
      </c>
      <c r="G275" s="60">
        <v>0</v>
      </c>
      <c r="H275" s="60">
        <v>0</v>
      </c>
      <c r="I275" s="60">
        <v>204</v>
      </c>
      <c r="J275" s="60">
        <v>106</v>
      </c>
      <c r="K275" s="60">
        <v>1</v>
      </c>
      <c r="L275" s="60">
        <f t="shared" si="31"/>
        <v>98</v>
      </c>
      <c r="M275" s="85">
        <v>44985</v>
      </c>
      <c r="N275" s="86" t="str">
        <f>VLOOKUP(B275,Hoja1!$B$1:$C$25,2,0)</f>
        <v>LUISA FERNANDA MEJIA CORREA</v>
      </c>
      <c r="O275" s="1" t="e">
        <f t="shared" si="30"/>
        <v>#REF!</v>
      </c>
    </row>
    <row r="276" spans="1:15" ht="15.75" hidden="1" customHeight="1" x14ac:dyDescent="0.25">
      <c r="A276" s="83">
        <v>20</v>
      </c>
      <c r="B276" s="83" t="s">
        <v>408</v>
      </c>
      <c r="C276" s="60" t="s">
        <v>82</v>
      </c>
      <c r="D276" s="60">
        <v>310</v>
      </c>
      <c r="E276" s="60">
        <v>297</v>
      </c>
      <c r="F276" s="60">
        <v>0</v>
      </c>
      <c r="G276" s="60">
        <v>0</v>
      </c>
      <c r="H276" s="60">
        <v>0</v>
      </c>
      <c r="I276" s="60">
        <v>607</v>
      </c>
      <c r="J276" s="60">
        <v>134</v>
      </c>
      <c r="K276" s="60">
        <v>3</v>
      </c>
      <c r="L276" s="60">
        <f t="shared" si="31"/>
        <v>473</v>
      </c>
      <c r="M276" s="85">
        <v>45000</v>
      </c>
      <c r="N276" s="86" t="str">
        <f>VLOOKUP(B276,Hoja1!$B$1:$C$25,2,0)</f>
        <v>LUISA FERNANDA MEJIA CORREA</v>
      </c>
      <c r="O276" s="1" t="e">
        <f t="shared" si="30"/>
        <v>#REF!</v>
      </c>
    </row>
    <row r="277" spans="1:15" ht="15.75" hidden="1" customHeight="1" x14ac:dyDescent="0.25">
      <c r="A277" s="83">
        <v>173</v>
      </c>
      <c r="B277" s="83" t="s">
        <v>408</v>
      </c>
      <c r="C277" s="60" t="s">
        <v>82</v>
      </c>
      <c r="D277" s="60">
        <v>224</v>
      </c>
      <c r="E277" s="60">
        <v>43</v>
      </c>
      <c r="F277" s="60">
        <v>0</v>
      </c>
      <c r="G277" s="60">
        <v>0</v>
      </c>
      <c r="H277" s="60">
        <v>0</v>
      </c>
      <c r="I277" s="60">
        <v>267</v>
      </c>
      <c r="J277" s="60">
        <v>49</v>
      </c>
      <c r="K277" s="60">
        <v>1</v>
      </c>
      <c r="L277" s="60">
        <f t="shared" si="31"/>
        <v>218</v>
      </c>
      <c r="M277" s="85">
        <v>45000</v>
      </c>
      <c r="N277" s="86" t="str">
        <f>VLOOKUP(B277,Hoja1!$B$1:$C$25,2,0)</f>
        <v>LUISA FERNANDA MEJIA CORREA</v>
      </c>
      <c r="O277" s="1" t="e">
        <f t="shared" si="30"/>
        <v>#REF!</v>
      </c>
    </row>
    <row r="278" spans="1:15" ht="15.75" hidden="1" customHeight="1" x14ac:dyDescent="0.25">
      <c r="A278" s="83">
        <v>174</v>
      </c>
      <c r="B278" s="83" t="s">
        <v>408</v>
      </c>
      <c r="C278" s="60" t="s">
        <v>82</v>
      </c>
      <c r="D278" s="60">
        <v>56</v>
      </c>
      <c r="E278" s="60">
        <v>22</v>
      </c>
      <c r="F278" s="60">
        <v>0</v>
      </c>
      <c r="G278" s="60">
        <v>0</v>
      </c>
      <c r="H278" s="60">
        <v>0</v>
      </c>
      <c r="I278" s="60">
        <v>78</v>
      </c>
      <c r="J278" s="60">
        <v>0</v>
      </c>
      <c r="K278" s="60">
        <v>0</v>
      </c>
      <c r="L278" s="60">
        <v>0</v>
      </c>
      <c r="M278" s="87"/>
      <c r="N278" s="83" t="str">
        <f>VLOOKUP(B278,Hoja1!$B$1:$C$25,2,0)</f>
        <v>LUISA FERNANDA MEJIA CORREA</v>
      </c>
      <c r="O278" s="1" t="e">
        <f t="shared" si="30"/>
        <v>#REF!</v>
      </c>
    </row>
    <row r="279" spans="1:15" ht="15.75" hidden="1" customHeight="1" x14ac:dyDescent="0.25">
      <c r="A279" s="83">
        <v>192</v>
      </c>
      <c r="B279" s="83" t="s">
        <v>408</v>
      </c>
      <c r="C279" s="60" t="s">
        <v>82</v>
      </c>
      <c r="D279" s="60">
        <v>136</v>
      </c>
      <c r="E279" s="60">
        <v>0</v>
      </c>
      <c r="F279" s="60">
        <v>0</v>
      </c>
      <c r="G279" s="60">
        <v>0</v>
      </c>
      <c r="H279" s="60">
        <v>0</v>
      </c>
      <c r="I279" s="60">
        <v>136</v>
      </c>
      <c r="J279" s="60">
        <v>0</v>
      </c>
      <c r="K279" s="60">
        <v>0</v>
      </c>
      <c r="L279" s="60">
        <v>0</v>
      </c>
      <c r="M279" s="60"/>
      <c r="N279" s="83" t="str">
        <f>VLOOKUP(B279,Hoja1!$B$1:$C$25,2,0)</f>
        <v>LUISA FERNANDA MEJIA CORREA</v>
      </c>
      <c r="O279" s="1" t="e">
        <f t="shared" si="30"/>
        <v>#REF!</v>
      </c>
    </row>
    <row r="280" spans="1:15" ht="15.75" hidden="1" customHeight="1" x14ac:dyDescent="0.25">
      <c r="A280" s="83">
        <v>198</v>
      </c>
      <c r="B280" s="83" t="s">
        <v>408</v>
      </c>
      <c r="C280" s="60" t="s">
        <v>82</v>
      </c>
      <c r="D280" s="60" t="e">
        <v>#N/A</v>
      </c>
      <c r="E280" s="60" t="e">
        <v>#N/A</v>
      </c>
      <c r="F280" s="60">
        <v>0</v>
      </c>
      <c r="G280" s="60">
        <v>0</v>
      </c>
      <c r="H280" s="60">
        <v>0</v>
      </c>
      <c r="I280" s="60" t="e">
        <v>#N/A</v>
      </c>
      <c r="J280" s="60">
        <v>22</v>
      </c>
      <c r="K280" s="60">
        <v>1</v>
      </c>
      <c r="L280" s="60" t="s">
        <v>18</v>
      </c>
      <c r="M280" s="85">
        <v>44985</v>
      </c>
      <c r="N280" s="86" t="str">
        <f>VLOOKUP(B280,Hoja1!$B$1:$C$25,2,0)</f>
        <v>LUISA FERNANDA MEJIA CORREA</v>
      </c>
      <c r="O280" s="1" t="e">
        <f t="shared" si="30"/>
        <v>#REF!</v>
      </c>
    </row>
    <row r="281" spans="1:15" ht="15.75" hidden="1" customHeight="1" x14ac:dyDescent="0.25">
      <c r="A281" s="83">
        <v>271</v>
      </c>
      <c r="B281" s="83" t="s">
        <v>408</v>
      </c>
      <c r="C281" s="60" t="s">
        <v>82</v>
      </c>
      <c r="D281" s="60" t="e">
        <v>#N/A</v>
      </c>
      <c r="E281" s="60" t="e">
        <v>#N/A</v>
      </c>
      <c r="F281" s="60">
        <v>0</v>
      </c>
      <c r="G281" s="60">
        <v>0</v>
      </c>
      <c r="H281" s="60">
        <v>0</v>
      </c>
      <c r="I281" s="60" t="e">
        <v>#N/A</v>
      </c>
      <c r="J281" s="60">
        <v>51</v>
      </c>
      <c r="K281" s="60">
        <v>1</v>
      </c>
      <c r="L281" s="60" t="s">
        <v>18</v>
      </c>
      <c r="M281" s="85">
        <v>44985</v>
      </c>
      <c r="N281" s="86" t="str">
        <f>VLOOKUP(B281,Hoja1!$B$1:$C$25,2,0)</f>
        <v>LUISA FERNANDA MEJIA CORREA</v>
      </c>
      <c r="O281" s="1" t="e">
        <f t="shared" si="30"/>
        <v>#REF!</v>
      </c>
    </row>
    <row r="282" spans="1:15" ht="15.75" hidden="1" customHeight="1" x14ac:dyDescent="0.25">
      <c r="A282" s="83">
        <v>273</v>
      </c>
      <c r="B282" s="83" t="s">
        <v>408</v>
      </c>
      <c r="C282" s="60" t="s">
        <v>82</v>
      </c>
      <c r="D282" s="60" t="e">
        <v>#N/A</v>
      </c>
      <c r="E282" s="60" t="e">
        <v>#N/A</v>
      </c>
      <c r="F282" s="60">
        <v>0</v>
      </c>
      <c r="G282" s="60">
        <v>0</v>
      </c>
      <c r="H282" s="60">
        <v>0</v>
      </c>
      <c r="I282" s="60" t="e">
        <v>#N/A</v>
      </c>
      <c r="J282" s="60">
        <v>16</v>
      </c>
      <c r="K282" s="60">
        <v>1</v>
      </c>
      <c r="L282" s="60" t="s">
        <v>18</v>
      </c>
      <c r="M282" s="85">
        <v>44985</v>
      </c>
      <c r="N282" s="86" t="str">
        <f>VLOOKUP(B282,Hoja1!$B$1:$C$25,2,0)</f>
        <v>LUISA FERNANDA MEJIA CORREA</v>
      </c>
      <c r="O282" s="1" t="e">
        <f t="shared" si="30"/>
        <v>#REF!</v>
      </c>
    </row>
    <row r="283" spans="1:15" ht="15.75" hidden="1" customHeight="1" x14ac:dyDescent="0.25">
      <c r="A283" s="83">
        <v>287</v>
      </c>
      <c r="B283" s="83" t="s">
        <v>408</v>
      </c>
      <c r="C283" s="60" t="s">
        <v>82</v>
      </c>
      <c r="D283" s="60" t="e">
        <v>#N/A</v>
      </c>
      <c r="E283" s="60" t="e">
        <v>#N/A</v>
      </c>
      <c r="F283" s="60">
        <v>0</v>
      </c>
      <c r="G283" s="60">
        <v>0</v>
      </c>
      <c r="H283" s="60">
        <v>0</v>
      </c>
      <c r="I283" s="60" t="e">
        <v>#N/A</v>
      </c>
      <c r="J283" s="60">
        <v>49</v>
      </c>
      <c r="K283" s="60">
        <v>1</v>
      </c>
      <c r="L283" s="60" t="s">
        <v>18</v>
      </c>
      <c r="M283" s="85">
        <v>44985</v>
      </c>
      <c r="N283" s="86" t="str">
        <f>VLOOKUP(B283,Hoja1!$B$1:$C$25,2,0)</f>
        <v>LUISA FERNANDA MEJIA CORREA</v>
      </c>
      <c r="O283" s="1" t="e">
        <f t="shared" si="30"/>
        <v>#REF!</v>
      </c>
    </row>
    <row r="284" spans="1:15" ht="15.75" hidden="1" customHeight="1" x14ac:dyDescent="0.25">
      <c r="A284" s="83">
        <v>288</v>
      </c>
      <c r="B284" s="83" t="s">
        <v>408</v>
      </c>
      <c r="C284" s="60" t="s">
        <v>82</v>
      </c>
      <c r="D284" s="60" t="e">
        <v>#N/A</v>
      </c>
      <c r="E284" s="60" t="e">
        <v>#N/A</v>
      </c>
      <c r="F284" s="60">
        <v>0</v>
      </c>
      <c r="G284" s="60">
        <v>0</v>
      </c>
      <c r="H284" s="60">
        <v>0</v>
      </c>
      <c r="I284" s="60" t="e">
        <v>#N/A</v>
      </c>
      <c r="J284" s="60">
        <v>77</v>
      </c>
      <c r="K284" s="60">
        <v>1</v>
      </c>
      <c r="L284" s="60" t="s">
        <v>18</v>
      </c>
      <c r="M284" s="85">
        <v>44985</v>
      </c>
      <c r="N284" s="86" t="str">
        <f>VLOOKUP(B284,Hoja1!$B$1:$C$25,2,0)</f>
        <v>LUISA FERNANDA MEJIA CORREA</v>
      </c>
      <c r="O284" s="1" t="e">
        <f t="shared" si="30"/>
        <v>#REF!</v>
      </c>
    </row>
    <row r="285" spans="1:15" ht="15.75" hidden="1" customHeight="1" x14ac:dyDescent="0.25">
      <c r="A285" s="83">
        <v>297</v>
      </c>
      <c r="B285" s="83" t="s">
        <v>408</v>
      </c>
      <c r="C285" s="60" t="s">
        <v>45</v>
      </c>
      <c r="D285" s="60" t="e">
        <v>#N/A</v>
      </c>
      <c r="E285" s="60" t="e">
        <v>#N/A</v>
      </c>
      <c r="F285" s="60">
        <v>0</v>
      </c>
      <c r="G285" s="60">
        <v>0</v>
      </c>
      <c r="H285" s="60">
        <v>0</v>
      </c>
      <c r="I285" s="60" t="e">
        <v>#N/A</v>
      </c>
      <c r="J285" s="60">
        <v>151</v>
      </c>
      <c r="K285" s="60">
        <v>0</v>
      </c>
      <c r="L285" s="60" t="s">
        <v>18</v>
      </c>
      <c r="M285" s="87"/>
      <c r="N285" s="83" t="str">
        <f>VLOOKUP(B285,Hoja1!$B$1:$C$25,2,0)</f>
        <v>LUISA FERNANDA MEJIA CORREA</v>
      </c>
      <c r="O285" s="1" t="e">
        <f t="shared" si="30"/>
        <v>#REF!</v>
      </c>
    </row>
    <row r="286" spans="1:15" ht="15.75" hidden="1" customHeight="1" x14ac:dyDescent="0.25">
      <c r="A286" s="83">
        <v>298</v>
      </c>
      <c r="B286" s="83" t="s">
        <v>408</v>
      </c>
      <c r="C286" s="60" t="s">
        <v>82</v>
      </c>
      <c r="D286" s="60" t="e">
        <v>#N/A</v>
      </c>
      <c r="E286" s="60" t="e">
        <v>#N/A</v>
      </c>
      <c r="F286" s="60">
        <v>0</v>
      </c>
      <c r="G286" s="60">
        <v>0</v>
      </c>
      <c r="H286" s="60">
        <v>0</v>
      </c>
      <c r="I286" s="60" t="e">
        <v>#N/A</v>
      </c>
      <c r="J286" s="60">
        <v>176</v>
      </c>
      <c r="K286" s="60">
        <v>1</v>
      </c>
      <c r="L286" s="60" t="s">
        <v>18</v>
      </c>
      <c r="M286" s="85">
        <v>44985</v>
      </c>
      <c r="N286" s="86" t="str">
        <f>VLOOKUP(B286,Hoja1!$B$1:$C$25,2,0)</f>
        <v>LUISA FERNANDA MEJIA CORREA</v>
      </c>
      <c r="O286" s="1" t="e">
        <f t="shared" si="30"/>
        <v>#REF!</v>
      </c>
    </row>
    <row r="287" spans="1:15" ht="15.75" hidden="1" customHeight="1" x14ac:dyDescent="0.25">
      <c r="A287" s="83">
        <v>310</v>
      </c>
      <c r="B287" s="83" t="s">
        <v>408</v>
      </c>
      <c r="C287" s="60" t="s">
        <v>82</v>
      </c>
      <c r="D287" s="60" t="e">
        <v>#N/A</v>
      </c>
      <c r="E287" s="60" t="e">
        <v>#N/A</v>
      </c>
      <c r="F287" s="60">
        <v>0</v>
      </c>
      <c r="G287" s="60">
        <v>0</v>
      </c>
      <c r="H287" s="60">
        <v>0</v>
      </c>
      <c r="I287" s="60" t="e">
        <v>#N/A</v>
      </c>
      <c r="J287" s="60">
        <v>0</v>
      </c>
      <c r="K287" s="60">
        <v>1</v>
      </c>
      <c r="L287" s="60" t="s">
        <v>18</v>
      </c>
      <c r="M287" s="60"/>
      <c r="N287" s="86" t="str">
        <f>VLOOKUP(B287,Hoja1!$B$1:$C$25,2,0)</f>
        <v>LUISA FERNANDA MEJIA CORREA</v>
      </c>
      <c r="O287" s="1" t="e">
        <f t="shared" si="30"/>
        <v>#REF!</v>
      </c>
    </row>
    <row r="288" spans="1:15" ht="15.75" hidden="1" customHeight="1" x14ac:dyDescent="0.25">
      <c r="A288" s="83" t="s">
        <v>410</v>
      </c>
      <c r="B288" s="83" t="s">
        <v>408</v>
      </c>
      <c r="C288" s="60" t="s">
        <v>82</v>
      </c>
      <c r="D288" s="60">
        <v>0</v>
      </c>
      <c r="E288" s="60">
        <v>0</v>
      </c>
      <c r="F288" s="60">
        <v>0</v>
      </c>
      <c r="G288" s="60">
        <v>0</v>
      </c>
      <c r="H288" s="60">
        <v>0</v>
      </c>
      <c r="I288" s="60">
        <v>0</v>
      </c>
      <c r="J288" s="60">
        <v>0</v>
      </c>
      <c r="K288" s="60">
        <v>2</v>
      </c>
      <c r="L288" s="60">
        <f t="shared" ref="L288:L289" si="32">I288-J288</f>
        <v>0</v>
      </c>
      <c r="M288" s="60"/>
      <c r="N288" s="86" t="str">
        <f>VLOOKUP(B288,Hoja1!$B$1:$C$25,2,0)</f>
        <v>LUISA FERNANDA MEJIA CORREA</v>
      </c>
      <c r="O288" s="1" t="e">
        <f t="shared" si="30"/>
        <v>#REF!</v>
      </c>
    </row>
    <row r="289" spans="1:15" ht="15.75" hidden="1" customHeight="1" x14ac:dyDescent="0.25">
      <c r="A289" s="83" t="s">
        <v>409</v>
      </c>
      <c r="B289" s="83" t="s">
        <v>408</v>
      </c>
      <c r="C289" s="60" t="s">
        <v>82</v>
      </c>
      <c r="D289" s="60">
        <v>588</v>
      </c>
      <c r="E289" s="60">
        <v>667</v>
      </c>
      <c r="F289" s="60">
        <v>0</v>
      </c>
      <c r="G289" s="60">
        <v>0</v>
      </c>
      <c r="H289" s="60">
        <v>0</v>
      </c>
      <c r="I289" s="60">
        <v>1255</v>
      </c>
      <c r="J289" s="60">
        <v>81</v>
      </c>
      <c r="K289" s="60">
        <v>3</v>
      </c>
      <c r="L289" s="60">
        <f t="shared" si="32"/>
        <v>1174</v>
      </c>
      <c r="M289" s="85">
        <v>45016</v>
      </c>
      <c r="N289" s="86" t="str">
        <f>VLOOKUP(B289,Hoja1!$B$1:$C$25,2,0)</f>
        <v>LUISA FERNANDA MEJIA CORREA</v>
      </c>
      <c r="O289" s="1" t="e">
        <f t="shared" si="30"/>
        <v>#REF!</v>
      </c>
    </row>
    <row r="290" spans="1:15" ht="15.75" hidden="1" customHeight="1" x14ac:dyDescent="0.25">
      <c r="A290" s="83">
        <v>347</v>
      </c>
      <c r="B290" s="83" t="s">
        <v>408</v>
      </c>
      <c r="C290" s="60"/>
      <c r="D290" s="60"/>
      <c r="E290" s="60"/>
      <c r="F290" s="60"/>
      <c r="G290" s="60"/>
      <c r="H290" s="60"/>
      <c r="I290" s="60"/>
      <c r="J290" s="60">
        <v>0</v>
      </c>
      <c r="K290" s="60"/>
      <c r="L290" s="60"/>
      <c r="M290" s="87"/>
      <c r="N290" s="83" t="str">
        <f>VLOOKUP(B290,Hoja1!$B$1:$C$25,2,0)</f>
        <v>LUISA FERNANDA MEJIA CORREA</v>
      </c>
      <c r="O290" s="1" t="e">
        <f t="shared" si="30"/>
        <v>#REF!</v>
      </c>
    </row>
    <row r="291" spans="1:15" ht="15.75" hidden="1" customHeight="1" x14ac:dyDescent="0.25">
      <c r="A291" s="83">
        <v>352</v>
      </c>
      <c r="B291" s="83" t="s">
        <v>408</v>
      </c>
      <c r="C291" s="60"/>
      <c r="D291" s="60"/>
      <c r="E291" s="60"/>
      <c r="F291" s="60"/>
      <c r="G291" s="60"/>
      <c r="H291" s="60"/>
      <c r="I291" s="60"/>
      <c r="J291" s="60">
        <v>0</v>
      </c>
      <c r="K291" s="60"/>
      <c r="L291" s="60"/>
      <c r="M291" s="60"/>
      <c r="N291" s="83" t="str">
        <f>VLOOKUP(B291,Hoja1!$B$1:$C$25,2,0)</f>
        <v>LUISA FERNANDA MEJIA CORREA</v>
      </c>
      <c r="O291" s="1" t="e">
        <f t="shared" si="30"/>
        <v>#REF!</v>
      </c>
    </row>
    <row r="292" spans="1:15" ht="15.75" hidden="1" customHeight="1" x14ac:dyDescent="0.25">
      <c r="A292" s="83">
        <v>346</v>
      </c>
      <c r="B292" s="83" t="s">
        <v>408</v>
      </c>
      <c r="C292" s="60"/>
      <c r="D292" s="60"/>
      <c r="E292" s="60"/>
      <c r="F292" s="60"/>
      <c r="G292" s="60"/>
      <c r="H292" s="60"/>
      <c r="I292" s="60"/>
      <c r="J292" s="60">
        <v>0</v>
      </c>
      <c r="K292" s="60"/>
      <c r="L292" s="60"/>
      <c r="M292" s="60"/>
      <c r="N292" s="83" t="str">
        <f>VLOOKUP(B292,Hoja1!$B$1:$C$25,2,0)</f>
        <v>LUISA FERNANDA MEJIA CORREA</v>
      </c>
      <c r="O292" s="1" t="e">
        <f t="shared" si="30"/>
        <v>#REF!</v>
      </c>
    </row>
    <row r="293" spans="1:15" ht="15.75" hidden="1" customHeight="1" x14ac:dyDescent="0.25">
      <c r="A293" s="83">
        <v>351</v>
      </c>
      <c r="B293" s="83" t="s">
        <v>408</v>
      </c>
      <c r="C293" s="60"/>
      <c r="D293" s="60"/>
      <c r="E293" s="60"/>
      <c r="F293" s="60"/>
      <c r="G293" s="60"/>
      <c r="H293" s="60"/>
      <c r="I293" s="60"/>
      <c r="J293" s="60">
        <v>0</v>
      </c>
      <c r="K293" s="60"/>
      <c r="L293" s="60"/>
      <c r="M293" s="60"/>
      <c r="N293" s="83" t="str">
        <f>VLOOKUP(B293,Hoja1!$B$1:$C$25,2,0)</f>
        <v>LUISA FERNANDA MEJIA CORREA</v>
      </c>
      <c r="O293" s="1" t="e">
        <f t="shared" si="30"/>
        <v>#REF!</v>
      </c>
    </row>
    <row r="294" spans="1:15" ht="15.75" hidden="1" customHeight="1" x14ac:dyDescent="0.25">
      <c r="A294" s="83">
        <v>353</v>
      </c>
      <c r="B294" s="83" t="s">
        <v>408</v>
      </c>
      <c r="C294" s="60"/>
      <c r="D294" s="60"/>
      <c r="E294" s="60"/>
      <c r="F294" s="60"/>
      <c r="G294" s="60"/>
      <c r="H294" s="60"/>
      <c r="I294" s="60"/>
      <c r="J294" s="60">
        <v>11</v>
      </c>
      <c r="K294" s="60"/>
      <c r="L294" s="60" t="s">
        <v>18</v>
      </c>
      <c r="M294" s="60"/>
      <c r="N294" s="83" t="str">
        <f>VLOOKUP(B294,Hoja1!$B$1:$C$25,2,0)</f>
        <v>LUISA FERNANDA MEJIA CORREA</v>
      </c>
      <c r="O294" s="1" t="e">
        <f t="shared" si="30"/>
        <v>#REF!</v>
      </c>
    </row>
    <row r="295" spans="1:15" ht="15.75" hidden="1" customHeight="1" x14ac:dyDescent="0.25">
      <c r="A295" s="83">
        <v>354</v>
      </c>
      <c r="B295" s="83" t="s">
        <v>408</v>
      </c>
      <c r="C295" s="60"/>
      <c r="D295" s="60"/>
      <c r="E295" s="60"/>
      <c r="F295" s="60"/>
      <c r="G295" s="60"/>
      <c r="H295" s="60"/>
      <c r="I295" s="60"/>
      <c r="J295" s="60">
        <v>0</v>
      </c>
      <c r="K295" s="60"/>
      <c r="L295" s="60"/>
      <c r="M295" s="60"/>
      <c r="N295" s="83" t="str">
        <f>VLOOKUP(B295,Hoja1!$B$1:$C$25,2,0)</f>
        <v>LUISA FERNANDA MEJIA CORREA</v>
      </c>
      <c r="O295" s="1" t="e">
        <f t="shared" si="30"/>
        <v>#REF!</v>
      </c>
    </row>
    <row r="296" spans="1:15" ht="15.75" hidden="1" customHeight="1" x14ac:dyDescent="0.25">
      <c r="A296" s="83">
        <v>356</v>
      </c>
      <c r="B296" s="83" t="s">
        <v>408</v>
      </c>
      <c r="C296" s="60"/>
      <c r="D296" s="60"/>
      <c r="E296" s="60"/>
      <c r="F296" s="60"/>
      <c r="G296" s="60"/>
      <c r="H296" s="60"/>
      <c r="I296" s="60"/>
      <c r="J296" s="60">
        <v>0</v>
      </c>
      <c r="K296" s="60"/>
      <c r="L296" s="60"/>
      <c r="M296" s="60"/>
      <c r="N296" s="83" t="str">
        <f>VLOOKUP(B296,Hoja1!$B$1:$C$25,2,0)</f>
        <v>LUISA FERNANDA MEJIA CORREA</v>
      </c>
      <c r="O296" s="1" t="e">
        <f t="shared" si="30"/>
        <v>#REF!</v>
      </c>
    </row>
    <row r="297" spans="1:15" ht="15.75" hidden="1" customHeight="1" x14ac:dyDescent="0.25">
      <c r="A297" s="83">
        <v>1</v>
      </c>
      <c r="B297" s="71" t="s">
        <v>444</v>
      </c>
      <c r="C297" s="60" t="s">
        <v>82</v>
      </c>
      <c r="D297" s="60">
        <v>576</v>
      </c>
      <c r="E297" s="60">
        <v>480</v>
      </c>
      <c r="F297" s="60">
        <v>0</v>
      </c>
      <c r="G297" s="60">
        <v>0</v>
      </c>
      <c r="H297" s="60">
        <v>0</v>
      </c>
      <c r="I297" s="60">
        <v>1056</v>
      </c>
      <c r="J297" s="60">
        <v>171</v>
      </c>
      <c r="K297" s="60">
        <v>11</v>
      </c>
      <c r="L297" s="60">
        <f t="shared" ref="L297:L298" si="33">I297-J297</f>
        <v>885</v>
      </c>
      <c r="M297" s="85">
        <v>44985</v>
      </c>
      <c r="N297" s="86" t="str">
        <f>VLOOKUP(B297,Hoja1!$B$1:$C$25,2,0)</f>
        <v>LEONARDO PINZON URIBE</v>
      </c>
      <c r="O297" s="1" t="e">
        <f t="shared" si="30"/>
        <v>#REF!</v>
      </c>
    </row>
    <row r="298" spans="1:15" ht="15.75" hidden="1" customHeight="1" x14ac:dyDescent="0.25">
      <c r="A298" s="83">
        <v>24</v>
      </c>
      <c r="B298" s="71" t="s">
        <v>444</v>
      </c>
      <c r="C298" s="60" t="s">
        <v>82</v>
      </c>
      <c r="D298" s="60">
        <v>300</v>
      </c>
      <c r="E298" s="60">
        <v>24</v>
      </c>
      <c r="F298" s="60">
        <v>0</v>
      </c>
      <c r="G298" s="60">
        <v>0</v>
      </c>
      <c r="H298" s="60">
        <v>0</v>
      </c>
      <c r="I298" s="60">
        <v>324</v>
      </c>
      <c r="J298" s="60">
        <v>37</v>
      </c>
      <c r="K298" s="60">
        <v>10</v>
      </c>
      <c r="L298" s="60">
        <f t="shared" si="33"/>
        <v>287</v>
      </c>
      <c r="M298" s="85">
        <v>44985</v>
      </c>
      <c r="N298" s="86" t="str">
        <f>VLOOKUP(B298,Hoja1!$B$1:$C$25,2,0)</f>
        <v>LEONARDO PINZON URIBE</v>
      </c>
      <c r="O298" s="1" t="e">
        <f t="shared" si="30"/>
        <v>#REF!</v>
      </c>
    </row>
    <row r="299" spans="1:15" ht="15.75" hidden="1" customHeight="1" x14ac:dyDescent="0.25">
      <c r="A299" s="83">
        <v>93</v>
      </c>
      <c r="B299" s="71" t="s">
        <v>444</v>
      </c>
      <c r="C299" s="60" t="s">
        <v>45</v>
      </c>
      <c r="D299" s="60" t="e">
        <v>#N/A</v>
      </c>
      <c r="E299" s="60" t="e">
        <v>#N/A</v>
      </c>
      <c r="F299" s="60">
        <v>0</v>
      </c>
      <c r="G299" s="60">
        <v>0</v>
      </c>
      <c r="H299" s="60">
        <v>0</v>
      </c>
      <c r="I299" s="60" t="e">
        <v>#N/A</v>
      </c>
      <c r="J299" s="60">
        <v>0</v>
      </c>
      <c r="K299" s="60">
        <v>0</v>
      </c>
      <c r="L299" s="60" t="s">
        <v>18</v>
      </c>
      <c r="M299" s="60"/>
      <c r="N299" s="86" t="str">
        <f>VLOOKUP(B299,Hoja1!$B$1:$C$25,2,0)</f>
        <v>LEONARDO PINZON URIBE</v>
      </c>
      <c r="O299" s="1" t="e">
        <f t="shared" si="30"/>
        <v>#REF!</v>
      </c>
    </row>
    <row r="300" spans="1:15" ht="15.75" hidden="1" customHeight="1" x14ac:dyDescent="0.25">
      <c r="A300" s="83" t="s">
        <v>371</v>
      </c>
      <c r="B300" s="71" t="s">
        <v>444</v>
      </c>
      <c r="C300" s="60" t="s">
        <v>82</v>
      </c>
      <c r="D300" s="60">
        <v>407</v>
      </c>
      <c r="E300" s="60">
        <v>70</v>
      </c>
      <c r="F300" s="60">
        <v>0</v>
      </c>
      <c r="G300" s="60">
        <v>0</v>
      </c>
      <c r="H300" s="60">
        <v>0</v>
      </c>
      <c r="I300" s="60">
        <v>477</v>
      </c>
      <c r="J300" s="60">
        <v>0</v>
      </c>
      <c r="K300" s="60">
        <v>0</v>
      </c>
      <c r="L300" s="60">
        <f t="shared" ref="L300:L305" si="34">I300-J300</f>
        <v>477</v>
      </c>
      <c r="M300" s="85">
        <v>45016</v>
      </c>
      <c r="N300" s="86" t="str">
        <f>VLOOKUP(B300,Hoja1!$B$1:$C$25,2,0)</f>
        <v>LEONARDO PINZON URIBE</v>
      </c>
      <c r="O300" s="1" t="e">
        <f t="shared" si="30"/>
        <v>#REF!</v>
      </c>
    </row>
    <row r="301" spans="1:15" ht="15.75" hidden="1" customHeight="1" x14ac:dyDescent="0.25">
      <c r="A301" s="83" t="s">
        <v>372</v>
      </c>
      <c r="B301" s="71" t="s">
        <v>444</v>
      </c>
      <c r="C301" s="60" t="s">
        <v>82</v>
      </c>
      <c r="D301" s="60">
        <v>183</v>
      </c>
      <c r="E301" s="60">
        <v>195</v>
      </c>
      <c r="F301" s="60">
        <v>0</v>
      </c>
      <c r="G301" s="60">
        <v>0</v>
      </c>
      <c r="H301" s="60">
        <v>0</v>
      </c>
      <c r="I301" s="60">
        <v>378</v>
      </c>
      <c r="J301" s="60">
        <v>0</v>
      </c>
      <c r="K301" s="60">
        <v>0</v>
      </c>
      <c r="L301" s="60">
        <f t="shared" si="34"/>
        <v>378</v>
      </c>
      <c r="M301" s="85">
        <v>45016</v>
      </c>
      <c r="N301" s="86" t="str">
        <f>VLOOKUP(B301,Hoja1!$B$1:$C$25,2,0)</f>
        <v>LEONARDO PINZON URIBE</v>
      </c>
      <c r="O301" s="1" t="e">
        <f t="shared" si="30"/>
        <v>#REF!</v>
      </c>
    </row>
    <row r="302" spans="1:15" ht="15.75" hidden="1" customHeight="1" x14ac:dyDescent="0.25">
      <c r="A302" s="83" t="s">
        <v>373</v>
      </c>
      <c r="B302" s="71" t="s">
        <v>444</v>
      </c>
      <c r="C302" s="60" t="s">
        <v>82</v>
      </c>
      <c r="D302" s="60">
        <v>140</v>
      </c>
      <c r="E302" s="60">
        <v>86</v>
      </c>
      <c r="F302" s="60">
        <v>0</v>
      </c>
      <c r="G302" s="60">
        <v>0</v>
      </c>
      <c r="H302" s="60">
        <v>0</v>
      </c>
      <c r="I302" s="60">
        <v>226</v>
      </c>
      <c r="J302" s="60">
        <v>0</v>
      </c>
      <c r="K302" s="60">
        <v>0</v>
      </c>
      <c r="L302" s="60">
        <f t="shared" si="34"/>
        <v>226</v>
      </c>
      <c r="M302" s="85">
        <v>45016</v>
      </c>
      <c r="N302" s="86" t="str">
        <f>VLOOKUP(B302,Hoja1!$B$1:$C$25,2,0)</f>
        <v>LEONARDO PINZON URIBE</v>
      </c>
      <c r="O302" s="1" t="e">
        <f t="shared" si="30"/>
        <v>#REF!</v>
      </c>
    </row>
    <row r="303" spans="1:15" ht="15.75" hidden="1" customHeight="1" x14ac:dyDescent="0.25">
      <c r="A303" s="83">
        <v>5</v>
      </c>
      <c r="B303" s="83" t="s">
        <v>412</v>
      </c>
      <c r="C303" s="60" t="s">
        <v>82</v>
      </c>
      <c r="D303" s="60">
        <v>354</v>
      </c>
      <c r="E303" s="60">
        <v>546</v>
      </c>
      <c r="F303" s="60">
        <v>410</v>
      </c>
      <c r="G303" s="60">
        <v>370</v>
      </c>
      <c r="H303" s="60">
        <v>120</v>
      </c>
      <c r="I303" s="60">
        <v>1800</v>
      </c>
      <c r="J303" s="60">
        <v>59</v>
      </c>
      <c r="K303" s="60">
        <v>2</v>
      </c>
      <c r="L303" s="60">
        <f t="shared" si="34"/>
        <v>1741</v>
      </c>
      <c r="M303" s="88">
        <v>45046</v>
      </c>
      <c r="N303" s="83" t="str">
        <f>VLOOKUP(B303,Hoja1!$B$1:$C$25,2,0)</f>
        <v>EDGAR JAVIER CASTAÑEDA GIL</v>
      </c>
      <c r="O303" s="1" t="e">
        <f t="shared" si="30"/>
        <v>#REF!</v>
      </c>
    </row>
    <row r="304" spans="1:15" ht="15.75" hidden="1" customHeight="1" x14ac:dyDescent="0.25">
      <c r="A304" s="83">
        <v>7</v>
      </c>
      <c r="B304" s="83" t="s">
        <v>412</v>
      </c>
      <c r="C304" s="60" t="s">
        <v>82</v>
      </c>
      <c r="D304" s="60">
        <v>104</v>
      </c>
      <c r="E304" s="60">
        <v>157</v>
      </c>
      <c r="F304" s="60">
        <v>0</v>
      </c>
      <c r="G304" s="60">
        <v>0</v>
      </c>
      <c r="H304" s="60">
        <v>0</v>
      </c>
      <c r="I304" s="60">
        <v>261</v>
      </c>
      <c r="J304" s="60">
        <v>0</v>
      </c>
      <c r="K304" s="60">
        <v>2</v>
      </c>
      <c r="L304" s="60">
        <f t="shared" si="34"/>
        <v>261</v>
      </c>
      <c r="M304" s="84">
        <v>44985</v>
      </c>
      <c r="N304" s="83" t="str">
        <f>VLOOKUP(B304,Hoja1!$B$1:$C$25,2,0)</f>
        <v>EDGAR JAVIER CASTAÑEDA GIL</v>
      </c>
      <c r="O304" s="1" t="e">
        <f t="shared" si="30"/>
        <v>#REF!</v>
      </c>
    </row>
    <row r="305" spans="1:15" ht="15.75" hidden="1" customHeight="1" x14ac:dyDescent="0.25">
      <c r="A305" s="83">
        <v>8</v>
      </c>
      <c r="B305" s="83" t="s">
        <v>412</v>
      </c>
      <c r="C305" s="60" t="s">
        <v>82</v>
      </c>
      <c r="D305" s="60">
        <v>239</v>
      </c>
      <c r="E305" s="60">
        <v>95</v>
      </c>
      <c r="F305" s="60">
        <v>100</v>
      </c>
      <c r="G305" s="60">
        <v>126</v>
      </c>
      <c r="H305" s="60">
        <v>39</v>
      </c>
      <c r="I305" s="60">
        <v>599</v>
      </c>
      <c r="J305" s="60">
        <v>246</v>
      </c>
      <c r="K305" s="60">
        <v>3</v>
      </c>
      <c r="L305" s="60">
        <f t="shared" si="34"/>
        <v>353</v>
      </c>
      <c r="M305" s="84">
        <v>44985</v>
      </c>
      <c r="N305" s="83" t="str">
        <f>VLOOKUP(B305,Hoja1!$B$1:$C$25,2,0)</f>
        <v>EDGAR JAVIER CASTAÑEDA GIL</v>
      </c>
      <c r="O305" s="1" t="e">
        <f t="shared" si="30"/>
        <v>#REF!</v>
      </c>
    </row>
    <row r="306" spans="1:15" ht="15.75" hidden="1" customHeight="1" x14ac:dyDescent="0.25">
      <c r="A306" s="83">
        <v>10</v>
      </c>
      <c r="B306" s="83" t="s">
        <v>412</v>
      </c>
      <c r="C306" s="60" t="s">
        <v>82</v>
      </c>
      <c r="D306" s="60">
        <v>152</v>
      </c>
      <c r="E306" s="60">
        <v>295</v>
      </c>
      <c r="F306" s="60" t="s">
        <v>18</v>
      </c>
      <c r="G306" s="60">
        <v>369</v>
      </c>
      <c r="H306" s="60">
        <v>78</v>
      </c>
      <c r="I306" s="60" t="s">
        <v>460</v>
      </c>
      <c r="J306" s="60">
        <v>272</v>
      </c>
      <c r="K306" s="60">
        <v>2</v>
      </c>
      <c r="L306" s="60" t="s">
        <v>18</v>
      </c>
      <c r="M306" s="60"/>
      <c r="N306" s="83" t="str">
        <f>VLOOKUP(B306,Hoja1!$B$1:$C$25,2,0)</f>
        <v>EDGAR JAVIER CASTAÑEDA GIL</v>
      </c>
      <c r="O306" s="1" t="e">
        <f t="shared" si="30"/>
        <v>#REF!</v>
      </c>
    </row>
    <row r="307" spans="1:15" ht="15.75" hidden="1" customHeight="1" x14ac:dyDescent="0.25">
      <c r="A307" s="83">
        <v>11</v>
      </c>
      <c r="B307" s="83" t="s">
        <v>412</v>
      </c>
      <c r="C307" s="60" t="s">
        <v>82</v>
      </c>
      <c r="D307" s="60">
        <v>62</v>
      </c>
      <c r="E307" s="60">
        <v>165</v>
      </c>
      <c r="F307" s="60">
        <v>2</v>
      </c>
      <c r="G307" s="60">
        <v>170</v>
      </c>
      <c r="H307" s="60">
        <v>57</v>
      </c>
      <c r="I307" s="60">
        <v>456</v>
      </c>
      <c r="J307" s="60">
        <v>72</v>
      </c>
      <c r="K307" s="60">
        <v>1</v>
      </c>
      <c r="L307" s="60">
        <f t="shared" ref="L307:L308" si="35">I307-J307</f>
        <v>384</v>
      </c>
      <c r="M307" s="84">
        <v>45000</v>
      </c>
      <c r="N307" s="83" t="str">
        <f>VLOOKUP(B307,Hoja1!$B$1:$C$25,2,0)</f>
        <v>EDGAR JAVIER CASTAÑEDA GIL</v>
      </c>
      <c r="O307" s="1" t="e">
        <f t="shared" si="30"/>
        <v>#REF!</v>
      </c>
    </row>
    <row r="308" spans="1:15" ht="15.75" hidden="1" customHeight="1" x14ac:dyDescent="0.25">
      <c r="A308" s="83">
        <v>13</v>
      </c>
      <c r="B308" s="83" t="s">
        <v>412</v>
      </c>
      <c r="C308" s="60" t="s">
        <v>82</v>
      </c>
      <c r="D308" s="60">
        <v>80</v>
      </c>
      <c r="E308" s="60">
        <v>67</v>
      </c>
      <c r="F308" s="60">
        <v>0</v>
      </c>
      <c r="G308" s="60">
        <v>0</v>
      </c>
      <c r="H308" s="60">
        <v>0</v>
      </c>
      <c r="I308" s="60">
        <v>147</v>
      </c>
      <c r="J308" s="60">
        <v>56</v>
      </c>
      <c r="K308" s="60">
        <v>1</v>
      </c>
      <c r="L308" s="60">
        <f t="shared" si="35"/>
        <v>91</v>
      </c>
      <c r="M308" s="84">
        <v>44985</v>
      </c>
      <c r="N308" s="83" t="str">
        <f>VLOOKUP(B308,Hoja1!$B$1:$C$25,2,0)</f>
        <v>EDGAR JAVIER CASTAÑEDA GIL</v>
      </c>
      <c r="O308" s="1" t="e">
        <f t="shared" si="30"/>
        <v>#REF!</v>
      </c>
    </row>
    <row r="309" spans="1:15" ht="15.75" hidden="1" customHeight="1" x14ac:dyDescent="0.25">
      <c r="A309" s="83">
        <v>15</v>
      </c>
      <c r="B309" s="83" t="s">
        <v>412</v>
      </c>
      <c r="C309" s="60" t="s">
        <v>45</v>
      </c>
      <c r="D309" s="60">
        <v>23</v>
      </c>
      <c r="E309" s="60">
        <v>54</v>
      </c>
      <c r="F309" s="60" t="s">
        <v>18</v>
      </c>
      <c r="G309" s="60" t="s">
        <v>18</v>
      </c>
      <c r="H309" s="60" t="s">
        <v>18</v>
      </c>
      <c r="I309" s="60" t="s">
        <v>460</v>
      </c>
      <c r="J309" s="60">
        <v>67</v>
      </c>
      <c r="K309" s="60">
        <v>0</v>
      </c>
      <c r="L309" s="60" t="s">
        <v>18</v>
      </c>
      <c r="M309" s="60"/>
      <c r="N309" s="83" t="str">
        <f>VLOOKUP(B309,Hoja1!$B$1:$C$25,2,0)</f>
        <v>EDGAR JAVIER CASTAÑEDA GIL</v>
      </c>
      <c r="O309" s="1" t="e">
        <f t="shared" si="30"/>
        <v>#REF!</v>
      </c>
    </row>
    <row r="310" spans="1:15" ht="15.75" hidden="1" customHeight="1" x14ac:dyDescent="0.25">
      <c r="A310" s="83">
        <v>143</v>
      </c>
      <c r="B310" s="83" t="s">
        <v>425</v>
      </c>
      <c r="C310" s="60" t="s">
        <v>82</v>
      </c>
      <c r="D310" s="60">
        <v>350</v>
      </c>
      <c r="E310" s="60">
        <v>540</v>
      </c>
      <c r="F310" s="60">
        <v>200</v>
      </c>
      <c r="G310" s="60">
        <v>449</v>
      </c>
      <c r="H310" s="60">
        <v>241</v>
      </c>
      <c r="I310" s="60">
        <v>1780</v>
      </c>
      <c r="J310" s="60">
        <v>160</v>
      </c>
      <c r="K310" s="60">
        <v>4</v>
      </c>
      <c r="L310" s="60">
        <f>I310-J310</f>
        <v>1620</v>
      </c>
      <c r="M310" s="84">
        <v>45046</v>
      </c>
      <c r="N310" s="83" t="str">
        <f>VLOOKUP(B310,Hoja1!$B$1:$C$25,2,0)</f>
        <v>LUISA FERNANDA MEJIA CORREA</v>
      </c>
      <c r="O310" s="1" t="e">
        <f t="shared" si="30"/>
        <v>#REF!</v>
      </c>
    </row>
    <row r="311" spans="1:15" ht="15.75" hidden="1" customHeight="1" x14ac:dyDescent="0.25">
      <c r="A311" s="83">
        <v>151</v>
      </c>
      <c r="B311" s="83" t="s">
        <v>412</v>
      </c>
      <c r="C311" s="60" t="s">
        <v>82</v>
      </c>
      <c r="D311" s="60">
        <v>47</v>
      </c>
      <c r="E311" s="60">
        <v>44</v>
      </c>
      <c r="F311" s="60">
        <v>0</v>
      </c>
      <c r="G311" s="60">
        <v>0</v>
      </c>
      <c r="H311" s="60">
        <v>0</v>
      </c>
      <c r="I311" s="60">
        <v>91</v>
      </c>
      <c r="J311" s="60">
        <v>186</v>
      </c>
      <c r="K311" s="60">
        <v>1</v>
      </c>
      <c r="L311" s="60" t="s">
        <v>18</v>
      </c>
      <c r="M311" s="60"/>
      <c r="N311" s="83" t="str">
        <f>VLOOKUP(B311,Hoja1!$B$1:$C$25,2,0)</f>
        <v>EDGAR JAVIER CASTAÑEDA GIL</v>
      </c>
      <c r="O311" s="1" t="e">
        <f t="shared" si="30"/>
        <v>#REF!</v>
      </c>
    </row>
    <row r="312" spans="1:15" ht="15.75" hidden="1" customHeight="1" x14ac:dyDescent="0.25">
      <c r="A312" s="83">
        <v>187</v>
      </c>
      <c r="B312" s="83" t="s">
        <v>412</v>
      </c>
      <c r="C312" s="60" t="s">
        <v>82</v>
      </c>
      <c r="D312" s="60">
        <v>19</v>
      </c>
      <c r="E312" s="60">
        <v>21</v>
      </c>
      <c r="F312" s="60">
        <v>0</v>
      </c>
      <c r="G312" s="60">
        <v>0</v>
      </c>
      <c r="H312" s="60">
        <v>0</v>
      </c>
      <c r="I312" s="60">
        <v>40</v>
      </c>
      <c r="J312" s="60">
        <v>52</v>
      </c>
      <c r="K312" s="60">
        <v>0</v>
      </c>
      <c r="L312" s="60">
        <f t="shared" ref="L312:L316" si="36">I312-J312</f>
        <v>-12</v>
      </c>
      <c r="M312" s="60"/>
      <c r="N312" s="83" t="str">
        <f>VLOOKUP(B312,Hoja1!$B$1:$C$25,2,0)</f>
        <v>EDGAR JAVIER CASTAÑEDA GIL</v>
      </c>
      <c r="O312" s="1" t="e">
        <f t="shared" si="30"/>
        <v>#REF!</v>
      </c>
    </row>
    <row r="313" spans="1:15" ht="15.75" hidden="1" customHeight="1" x14ac:dyDescent="0.25">
      <c r="A313" s="83">
        <v>227</v>
      </c>
      <c r="B313" s="83" t="s">
        <v>412</v>
      </c>
      <c r="C313" s="60" t="s">
        <v>82</v>
      </c>
      <c r="D313" s="60">
        <v>5</v>
      </c>
      <c r="E313" s="60">
        <v>51</v>
      </c>
      <c r="F313" s="60">
        <v>0</v>
      </c>
      <c r="G313" s="60">
        <v>0</v>
      </c>
      <c r="H313" s="60">
        <v>0</v>
      </c>
      <c r="I313" s="60">
        <v>56</v>
      </c>
      <c r="J313" s="60">
        <v>66</v>
      </c>
      <c r="K313" s="60">
        <v>1</v>
      </c>
      <c r="L313" s="60">
        <f t="shared" si="36"/>
        <v>-10</v>
      </c>
      <c r="M313" s="60"/>
      <c r="N313" s="83" t="str">
        <f>VLOOKUP(B313,Hoja1!$B$1:$C$25,2,0)</f>
        <v>EDGAR JAVIER CASTAÑEDA GIL</v>
      </c>
      <c r="O313" s="1" t="e">
        <f t="shared" si="30"/>
        <v>#REF!</v>
      </c>
    </row>
    <row r="314" spans="1:15" ht="15.75" hidden="1" customHeight="1" x14ac:dyDescent="0.25">
      <c r="A314" s="83" t="s">
        <v>413</v>
      </c>
      <c r="B314" s="83" t="s">
        <v>412</v>
      </c>
      <c r="C314" s="60" t="s">
        <v>82</v>
      </c>
      <c r="D314" s="60">
        <v>130</v>
      </c>
      <c r="E314" s="60">
        <v>241</v>
      </c>
      <c r="F314" s="60">
        <v>52</v>
      </c>
      <c r="G314" s="60">
        <v>215</v>
      </c>
      <c r="H314" s="60">
        <v>104</v>
      </c>
      <c r="I314" s="60">
        <v>742</v>
      </c>
      <c r="J314" s="60">
        <v>0</v>
      </c>
      <c r="K314" s="60">
        <v>2</v>
      </c>
      <c r="L314" s="60">
        <f t="shared" si="36"/>
        <v>742</v>
      </c>
      <c r="M314" s="84">
        <v>45000</v>
      </c>
      <c r="N314" s="83" t="str">
        <f>VLOOKUP(B314,Hoja1!$B$1:$C$25,2,0)</f>
        <v>EDGAR JAVIER CASTAÑEDA GIL</v>
      </c>
      <c r="O314" s="1" t="e">
        <f t="shared" si="30"/>
        <v>#REF!</v>
      </c>
    </row>
    <row r="315" spans="1:15" ht="15.75" hidden="1" customHeight="1" x14ac:dyDescent="0.25">
      <c r="A315" s="83" t="s">
        <v>414</v>
      </c>
      <c r="B315" s="83" t="s">
        <v>412</v>
      </c>
      <c r="C315" s="60" t="s">
        <v>82</v>
      </c>
      <c r="D315" s="60">
        <v>197</v>
      </c>
      <c r="E315" s="60">
        <v>493</v>
      </c>
      <c r="F315" s="60">
        <v>100</v>
      </c>
      <c r="G315" s="60">
        <v>460</v>
      </c>
      <c r="H315" s="60">
        <v>130</v>
      </c>
      <c r="I315" s="60">
        <v>1380</v>
      </c>
      <c r="J315" s="60">
        <v>239</v>
      </c>
      <c r="K315" s="60">
        <v>3</v>
      </c>
      <c r="L315" s="60">
        <f t="shared" si="36"/>
        <v>1141</v>
      </c>
      <c r="M315" s="84">
        <v>45016</v>
      </c>
      <c r="N315" s="83" t="str">
        <f>VLOOKUP(B315,Hoja1!$B$1:$C$25,2,0)</f>
        <v>EDGAR JAVIER CASTAÑEDA GIL</v>
      </c>
      <c r="O315" s="1" t="e">
        <f t="shared" si="30"/>
        <v>#REF!</v>
      </c>
    </row>
    <row r="316" spans="1:15" ht="15.75" hidden="1" customHeight="1" x14ac:dyDescent="0.25">
      <c r="A316" s="83">
        <v>336</v>
      </c>
      <c r="B316" s="83" t="s">
        <v>412</v>
      </c>
      <c r="C316" s="60">
        <v>0</v>
      </c>
      <c r="D316" s="60">
        <v>0</v>
      </c>
      <c r="E316" s="60">
        <v>0</v>
      </c>
      <c r="F316" s="60">
        <v>725</v>
      </c>
      <c r="G316" s="60">
        <v>0</v>
      </c>
      <c r="H316" s="60">
        <v>0</v>
      </c>
      <c r="I316" s="60">
        <v>725</v>
      </c>
      <c r="J316" s="60">
        <v>0</v>
      </c>
      <c r="K316" s="60">
        <v>0</v>
      </c>
      <c r="L316" s="60">
        <f t="shared" si="36"/>
        <v>725</v>
      </c>
      <c r="M316" s="84">
        <v>45046</v>
      </c>
      <c r="N316" s="83" t="str">
        <f>VLOOKUP(B316,Hoja1!$B$1:$C$25,2,0)</f>
        <v>EDGAR JAVIER CASTAÑEDA GIL</v>
      </c>
      <c r="O316" s="1" t="e">
        <f t="shared" si="30"/>
        <v>#REF!</v>
      </c>
    </row>
    <row r="317" spans="1:15" ht="15.75" hidden="1" customHeight="1" x14ac:dyDescent="0.25">
      <c r="A317" s="83">
        <v>349</v>
      </c>
      <c r="B317" s="83" t="s">
        <v>412</v>
      </c>
      <c r="C317" s="60"/>
      <c r="D317" s="60"/>
      <c r="E317" s="60"/>
      <c r="F317" s="60"/>
      <c r="G317" s="60"/>
      <c r="H317" s="60"/>
      <c r="I317" s="60"/>
      <c r="J317" s="60">
        <v>0</v>
      </c>
      <c r="K317" s="60"/>
      <c r="L317" s="60"/>
      <c r="M317" s="60"/>
      <c r="N317" s="83" t="str">
        <f>VLOOKUP(B317,Hoja1!$B$1:$C$25,2,0)</f>
        <v>EDGAR JAVIER CASTAÑEDA GIL</v>
      </c>
      <c r="O317" s="1" t="e">
        <f t="shared" si="30"/>
        <v>#REF!</v>
      </c>
    </row>
    <row r="318" spans="1:15" ht="15.75" hidden="1" customHeight="1" x14ac:dyDescent="0.25">
      <c r="A318" s="83">
        <v>137</v>
      </c>
      <c r="B318" s="83" t="s">
        <v>415</v>
      </c>
      <c r="C318" s="60" t="s">
        <v>82</v>
      </c>
      <c r="D318" s="60">
        <v>158</v>
      </c>
      <c r="E318" s="60">
        <v>101</v>
      </c>
      <c r="F318" s="60">
        <v>0</v>
      </c>
      <c r="G318" s="60">
        <v>0</v>
      </c>
      <c r="H318" s="60">
        <v>0</v>
      </c>
      <c r="I318" s="60">
        <v>259</v>
      </c>
      <c r="J318" s="60">
        <v>285</v>
      </c>
      <c r="K318" s="60">
        <v>2</v>
      </c>
      <c r="L318" s="60" t="s">
        <v>18</v>
      </c>
      <c r="M318" s="60"/>
      <c r="N318" s="83" t="str">
        <f>VLOOKUP(B318,Hoja1!$B$1:$C$25,2,0)</f>
        <v>LEONARDO PINZON URIBE</v>
      </c>
      <c r="O318" s="1" t="e">
        <f t="shared" si="30"/>
        <v>#REF!</v>
      </c>
    </row>
    <row r="319" spans="1:15" ht="15.75" hidden="1" customHeight="1" x14ac:dyDescent="0.25">
      <c r="A319" s="83">
        <v>139</v>
      </c>
      <c r="B319" s="83" t="s">
        <v>425</v>
      </c>
      <c r="C319" s="60" t="s">
        <v>82</v>
      </c>
      <c r="D319" s="60">
        <v>165</v>
      </c>
      <c r="E319" s="60">
        <v>253</v>
      </c>
      <c r="F319" s="60">
        <v>0</v>
      </c>
      <c r="G319" s="60">
        <v>0</v>
      </c>
      <c r="H319" s="60">
        <v>156</v>
      </c>
      <c r="I319" s="60">
        <v>574</v>
      </c>
      <c r="J319" s="60">
        <v>404</v>
      </c>
      <c r="K319" s="60">
        <v>2</v>
      </c>
      <c r="L319" s="60" t="s">
        <v>18</v>
      </c>
      <c r="M319" s="60"/>
      <c r="N319" s="83" t="str">
        <f>VLOOKUP(B319,Hoja1!$B$1:$C$25,2,0)</f>
        <v>LUISA FERNANDA MEJIA CORREA</v>
      </c>
      <c r="O319" s="1" t="e">
        <f t="shared" si="30"/>
        <v>#REF!</v>
      </c>
    </row>
    <row r="320" spans="1:15" ht="15.75" hidden="1" customHeight="1" x14ac:dyDescent="0.25">
      <c r="A320" s="83">
        <v>140</v>
      </c>
      <c r="B320" s="83" t="s">
        <v>425</v>
      </c>
      <c r="C320" s="60" t="s">
        <v>82</v>
      </c>
      <c r="D320" s="60">
        <v>59</v>
      </c>
      <c r="E320" s="60">
        <v>68</v>
      </c>
      <c r="F320" s="60">
        <v>0</v>
      </c>
      <c r="G320" s="60">
        <v>0</v>
      </c>
      <c r="H320" s="60">
        <v>14</v>
      </c>
      <c r="I320" s="60">
        <v>141</v>
      </c>
      <c r="J320" s="60">
        <v>123</v>
      </c>
      <c r="K320" s="60">
        <v>1</v>
      </c>
      <c r="L320" s="60">
        <f>I320-J320</f>
        <v>18</v>
      </c>
      <c r="M320" s="85">
        <v>44985</v>
      </c>
      <c r="N320" s="83" t="str">
        <f>VLOOKUP(B320,Hoja1!$B$1:$C$25,2,0)</f>
        <v>LUISA FERNANDA MEJIA CORREA</v>
      </c>
      <c r="O320" s="1" t="e">
        <f t="shared" si="30"/>
        <v>#REF!</v>
      </c>
    </row>
    <row r="321" spans="1:15" ht="15.75" hidden="1" customHeight="1" x14ac:dyDescent="0.25">
      <c r="A321" s="83">
        <v>142</v>
      </c>
      <c r="B321" s="83" t="s">
        <v>415</v>
      </c>
      <c r="C321" s="60" t="s">
        <v>82</v>
      </c>
      <c r="D321" s="60">
        <v>987</v>
      </c>
      <c r="E321" s="60">
        <v>749</v>
      </c>
      <c r="F321" s="60">
        <v>0</v>
      </c>
      <c r="G321" s="60">
        <v>0</v>
      </c>
      <c r="H321" s="60">
        <v>210</v>
      </c>
      <c r="I321" s="60">
        <v>1946</v>
      </c>
      <c r="J321" s="60">
        <v>737</v>
      </c>
      <c r="K321" s="60">
        <v>3</v>
      </c>
      <c r="L321" s="60" t="s">
        <v>18</v>
      </c>
      <c r="M321" s="60"/>
      <c r="N321" s="83" t="str">
        <f>VLOOKUP(B321,Hoja1!$B$1:$C$25,2,0)</f>
        <v>LEONARDO PINZON URIBE</v>
      </c>
      <c r="O321" s="1" t="e">
        <f t="shared" si="30"/>
        <v>#REF!</v>
      </c>
    </row>
    <row r="322" spans="1:15" ht="15.75" hidden="1" customHeight="1" x14ac:dyDescent="0.25">
      <c r="A322" s="83">
        <v>191</v>
      </c>
      <c r="B322" s="83" t="s">
        <v>415</v>
      </c>
      <c r="C322" s="60" t="s">
        <v>82</v>
      </c>
      <c r="D322" s="60">
        <v>76</v>
      </c>
      <c r="E322" s="60">
        <v>77</v>
      </c>
      <c r="F322" s="60">
        <v>0</v>
      </c>
      <c r="G322" s="60">
        <v>0</v>
      </c>
      <c r="H322" s="60">
        <v>31</v>
      </c>
      <c r="I322" s="60">
        <v>184</v>
      </c>
      <c r="J322" s="60">
        <v>125</v>
      </c>
      <c r="K322" s="60">
        <v>1</v>
      </c>
      <c r="L322" s="60" t="s">
        <v>18</v>
      </c>
      <c r="M322" s="60"/>
      <c r="N322" s="83" t="str">
        <f>VLOOKUP(B322,Hoja1!$B$1:$C$25,2,0)</f>
        <v>LEONARDO PINZON URIBE</v>
      </c>
      <c r="O322" s="1" t="e">
        <f t="shared" si="30"/>
        <v>#REF!</v>
      </c>
    </row>
    <row r="323" spans="1:15" ht="15.75" hidden="1" customHeight="1" x14ac:dyDescent="0.25">
      <c r="A323" s="83">
        <v>202</v>
      </c>
      <c r="B323" s="83" t="s">
        <v>396</v>
      </c>
      <c r="C323" s="60" t="s">
        <v>82</v>
      </c>
      <c r="D323" s="60">
        <v>63</v>
      </c>
      <c r="E323" s="60">
        <v>144</v>
      </c>
      <c r="F323" s="60">
        <v>0</v>
      </c>
      <c r="G323" s="60">
        <v>0</v>
      </c>
      <c r="H323" s="60">
        <v>0</v>
      </c>
      <c r="I323" s="60">
        <v>207</v>
      </c>
      <c r="J323" s="60">
        <v>204</v>
      </c>
      <c r="K323" s="60">
        <v>1</v>
      </c>
      <c r="L323" s="60" t="s">
        <v>18</v>
      </c>
      <c r="M323" s="60"/>
      <c r="N323" s="83" t="str">
        <f>VLOOKUP(B323,Hoja1!$B$1:$C$25,2,0)</f>
        <v>EDGAR JAVIER CASTAÑEDA GIL</v>
      </c>
      <c r="O323" s="1" t="e">
        <f t="shared" si="30"/>
        <v>#REF!</v>
      </c>
    </row>
    <row r="324" spans="1:15" ht="15.75" hidden="1" customHeight="1" x14ac:dyDescent="0.25">
      <c r="A324" s="83" t="s">
        <v>397</v>
      </c>
      <c r="B324" s="83" t="s">
        <v>396</v>
      </c>
      <c r="C324" s="60" t="s">
        <v>82</v>
      </c>
      <c r="D324" s="60">
        <v>468</v>
      </c>
      <c r="E324" s="60">
        <v>606</v>
      </c>
      <c r="F324" s="60">
        <v>0</v>
      </c>
      <c r="G324" s="60">
        <v>0</v>
      </c>
      <c r="H324" s="60">
        <v>0</v>
      </c>
      <c r="I324" s="60">
        <v>1074</v>
      </c>
      <c r="J324" s="60">
        <v>1296</v>
      </c>
      <c r="K324" s="60">
        <v>6</v>
      </c>
      <c r="L324" s="60" t="s">
        <v>18</v>
      </c>
      <c r="M324" s="60"/>
      <c r="N324" s="83" t="str">
        <f>VLOOKUP(B324,Hoja1!$B$1:$C$25,2,0)</f>
        <v>EDGAR JAVIER CASTAÑEDA GIL</v>
      </c>
      <c r="O324" s="1" t="e">
        <f t="shared" si="30"/>
        <v>#REF!</v>
      </c>
    </row>
    <row r="325" spans="1:15" ht="15.75" hidden="1" customHeight="1" x14ac:dyDescent="0.25">
      <c r="A325" s="83" t="s">
        <v>397</v>
      </c>
      <c r="B325" s="83" t="s">
        <v>396</v>
      </c>
      <c r="C325" s="60"/>
      <c r="D325" s="60">
        <v>0</v>
      </c>
      <c r="E325" s="60">
        <v>0</v>
      </c>
      <c r="F325" s="60">
        <v>0</v>
      </c>
      <c r="G325" s="60">
        <v>0</v>
      </c>
      <c r="H325" s="60">
        <v>0</v>
      </c>
      <c r="I325" s="60">
        <v>0</v>
      </c>
      <c r="J325" s="60">
        <v>1296</v>
      </c>
      <c r="K325" s="60">
        <v>0</v>
      </c>
      <c r="L325" s="60">
        <v>0</v>
      </c>
      <c r="M325" s="60"/>
      <c r="N325" s="83" t="str">
        <f>VLOOKUP(B325,Hoja1!$B$1:$C$25,2,0)</f>
        <v>EDGAR JAVIER CASTAÑEDA GIL</v>
      </c>
      <c r="O325" s="1" t="e">
        <f t="shared" si="30"/>
        <v>#REF!</v>
      </c>
    </row>
    <row r="326" spans="1:15" ht="15.75" hidden="1" customHeight="1" x14ac:dyDescent="0.25">
      <c r="A326" s="83">
        <v>312</v>
      </c>
      <c r="B326" s="83" t="s">
        <v>415</v>
      </c>
      <c r="C326" s="60" t="s">
        <v>45</v>
      </c>
      <c r="D326" s="60">
        <v>82</v>
      </c>
      <c r="E326" s="60">
        <v>60</v>
      </c>
      <c r="F326" s="60">
        <v>0</v>
      </c>
      <c r="G326" s="60">
        <v>0</v>
      </c>
      <c r="H326" s="60">
        <v>43</v>
      </c>
      <c r="I326" s="60">
        <v>185</v>
      </c>
      <c r="J326" s="60">
        <v>75</v>
      </c>
      <c r="K326" s="60">
        <v>0</v>
      </c>
      <c r="L326" s="60" t="s">
        <v>18</v>
      </c>
      <c r="M326" s="60"/>
      <c r="N326" s="83" t="str">
        <f>VLOOKUP(B326,Hoja1!$B$1:$C$25,2,0)</f>
        <v>LEONARDO PINZON URIBE</v>
      </c>
      <c r="O326" s="1" t="e">
        <f t="shared" si="30"/>
        <v>#REF!</v>
      </c>
    </row>
    <row r="327" spans="1:15" ht="15.75" hidden="1" customHeight="1" x14ac:dyDescent="0.25">
      <c r="A327" s="83">
        <v>331</v>
      </c>
      <c r="B327" s="83" t="s">
        <v>415</v>
      </c>
      <c r="C327" s="60">
        <v>0</v>
      </c>
      <c r="D327" s="60">
        <v>0</v>
      </c>
      <c r="E327" s="60">
        <v>0</v>
      </c>
      <c r="F327" s="60">
        <v>725</v>
      </c>
      <c r="G327" s="60">
        <v>0</v>
      </c>
      <c r="H327" s="60">
        <v>0</v>
      </c>
      <c r="I327" s="60">
        <v>725</v>
      </c>
      <c r="J327" s="60">
        <v>0</v>
      </c>
      <c r="K327" s="60">
        <v>0</v>
      </c>
      <c r="L327" s="60">
        <f t="shared" ref="L327:L331" si="37">I327-J327</f>
        <v>725</v>
      </c>
      <c r="M327" s="85">
        <v>45016</v>
      </c>
      <c r="N327" s="86" t="str">
        <f>VLOOKUP(B327,Hoja1!$B$1:$C$25,2,0)</f>
        <v>LEONARDO PINZON URIBE</v>
      </c>
      <c r="O327" s="1" t="e">
        <f t="shared" si="30"/>
        <v>#REF!</v>
      </c>
    </row>
    <row r="328" spans="1:15" ht="15.75" hidden="1" customHeight="1" x14ac:dyDescent="0.25">
      <c r="A328" s="83">
        <v>332</v>
      </c>
      <c r="B328" s="83" t="s">
        <v>415</v>
      </c>
      <c r="C328" s="60">
        <v>0</v>
      </c>
      <c r="D328" s="60">
        <v>0</v>
      </c>
      <c r="E328" s="60">
        <v>0</v>
      </c>
      <c r="F328" s="60">
        <v>725</v>
      </c>
      <c r="G328" s="60">
        <v>0</v>
      </c>
      <c r="H328" s="60">
        <v>0</v>
      </c>
      <c r="I328" s="60">
        <v>725</v>
      </c>
      <c r="J328" s="60">
        <v>0</v>
      </c>
      <c r="K328" s="60">
        <v>0</v>
      </c>
      <c r="L328" s="60">
        <f t="shared" si="37"/>
        <v>725</v>
      </c>
      <c r="M328" s="60"/>
      <c r="N328" s="86" t="str">
        <f>VLOOKUP(B328,Hoja1!$B$1:$C$25,2,0)</f>
        <v>LEONARDO PINZON URIBE</v>
      </c>
      <c r="O328" s="1" t="e">
        <f t="shared" si="30"/>
        <v>#REF!</v>
      </c>
    </row>
    <row r="329" spans="1:15" ht="15.75" hidden="1" customHeight="1" x14ac:dyDescent="0.25">
      <c r="A329" s="83">
        <v>333</v>
      </c>
      <c r="B329" s="83" t="s">
        <v>415</v>
      </c>
      <c r="C329" s="60">
        <v>0</v>
      </c>
      <c r="D329" s="60">
        <v>0</v>
      </c>
      <c r="E329" s="60">
        <v>0</v>
      </c>
      <c r="F329" s="60">
        <v>725</v>
      </c>
      <c r="G329" s="60">
        <v>0</v>
      </c>
      <c r="H329" s="60">
        <v>0</v>
      </c>
      <c r="I329" s="60">
        <v>725</v>
      </c>
      <c r="J329" s="60">
        <v>0</v>
      </c>
      <c r="K329" s="60">
        <v>0</v>
      </c>
      <c r="L329" s="60">
        <f t="shared" si="37"/>
        <v>725</v>
      </c>
      <c r="M329" s="60"/>
      <c r="N329" s="86" t="str">
        <f>VLOOKUP(B329,Hoja1!$B$1:$C$25,2,0)</f>
        <v>LEONARDO PINZON URIBE</v>
      </c>
      <c r="O329" s="1" t="e">
        <f t="shared" si="30"/>
        <v>#REF!</v>
      </c>
    </row>
    <row r="330" spans="1:15" ht="15.75" hidden="1" customHeight="1" x14ac:dyDescent="0.25">
      <c r="A330" s="83">
        <v>334</v>
      </c>
      <c r="B330" s="83" t="s">
        <v>415</v>
      </c>
      <c r="C330" s="60">
        <v>0</v>
      </c>
      <c r="D330" s="60">
        <v>0</v>
      </c>
      <c r="E330" s="60">
        <v>0</v>
      </c>
      <c r="F330" s="60">
        <v>725</v>
      </c>
      <c r="G330" s="60">
        <v>0</v>
      </c>
      <c r="H330" s="60">
        <v>0</v>
      </c>
      <c r="I330" s="60">
        <v>725</v>
      </c>
      <c r="J330" s="60">
        <v>0</v>
      </c>
      <c r="K330" s="60">
        <v>0</v>
      </c>
      <c r="L330" s="60">
        <f t="shared" si="37"/>
        <v>725</v>
      </c>
      <c r="M330" s="87"/>
      <c r="N330" s="83" t="str">
        <f>VLOOKUP(B330,Hoja1!$B$1:$C$25,2,0)</f>
        <v>LEONARDO PINZON URIBE</v>
      </c>
      <c r="O330" s="1" t="e">
        <f t="shared" si="30"/>
        <v>#REF!</v>
      </c>
    </row>
    <row r="331" spans="1:15" ht="15.75" hidden="1" customHeight="1" x14ac:dyDescent="0.25">
      <c r="A331" s="83">
        <v>335</v>
      </c>
      <c r="B331" s="83" t="s">
        <v>415</v>
      </c>
      <c r="C331" s="60">
        <v>0</v>
      </c>
      <c r="D331" s="60">
        <v>0</v>
      </c>
      <c r="E331" s="60">
        <v>0</v>
      </c>
      <c r="F331" s="60">
        <v>725</v>
      </c>
      <c r="G331" s="60">
        <v>0</v>
      </c>
      <c r="H331" s="60">
        <v>0</v>
      </c>
      <c r="I331" s="60">
        <v>725</v>
      </c>
      <c r="J331" s="60">
        <v>0</v>
      </c>
      <c r="K331" s="60">
        <v>0</v>
      </c>
      <c r="L331" s="60">
        <f t="shared" si="37"/>
        <v>725</v>
      </c>
      <c r="M331" s="60"/>
      <c r="N331" s="83" t="str">
        <f>VLOOKUP(B331,Hoja1!$B$1:$C$25,2,0)</f>
        <v>LEONARDO PINZON URIBE</v>
      </c>
      <c r="O331" s="1" t="e">
        <f t="shared" si="30"/>
        <v>#REF!</v>
      </c>
    </row>
    <row r="332" spans="1:15" ht="15.75" hidden="1" customHeight="1" x14ac:dyDescent="0.25">
      <c r="A332" s="83" t="s">
        <v>397</v>
      </c>
      <c r="B332" s="83" t="s">
        <v>396</v>
      </c>
      <c r="C332" s="60" t="s">
        <v>82</v>
      </c>
      <c r="D332" s="60">
        <v>0</v>
      </c>
      <c r="E332" s="60">
        <v>0</v>
      </c>
      <c r="F332" s="60">
        <v>0</v>
      </c>
      <c r="G332" s="60">
        <v>0</v>
      </c>
      <c r="H332" s="60">
        <v>0</v>
      </c>
      <c r="I332" s="60">
        <v>0</v>
      </c>
      <c r="J332" s="60">
        <v>1296</v>
      </c>
      <c r="K332" s="60">
        <v>0</v>
      </c>
      <c r="L332" s="60" t="s">
        <v>18</v>
      </c>
      <c r="M332" s="60"/>
      <c r="N332" s="83" t="str">
        <f>VLOOKUP(B332,Hoja1!$B$1:$C$25,2,0)</f>
        <v>EDGAR JAVIER CASTAÑEDA GIL</v>
      </c>
      <c r="O332" s="1" t="e">
        <f t="shared" si="30"/>
        <v>#REF!</v>
      </c>
    </row>
    <row r="333" spans="1:15" ht="15.75" hidden="1" customHeight="1" x14ac:dyDescent="0.25">
      <c r="A333" s="83">
        <v>119</v>
      </c>
      <c r="B333" s="83" t="s">
        <v>427</v>
      </c>
      <c r="C333" s="60" t="s">
        <v>82</v>
      </c>
      <c r="D333" s="60">
        <v>185</v>
      </c>
      <c r="E333" s="60">
        <v>56</v>
      </c>
      <c r="F333" s="60">
        <v>0</v>
      </c>
      <c r="G333" s="60">
        <v>0</v>
      </c>
      <c r="H333" s="60">
        <v>0</v>
      </c>
      <c r="I333" s="60">
        <v>241</v>
      </c>
      <c r="J333" s="60">
        <v>204</v>
      </c>
      <c r="K333" s="60">
        <v>2</v>
      </c>
      <c r="L333" s="60" t="s">
        <v>18</v>
      </c>
      <c r="M333" s="60"/>
      <c r="N333" s="83" t="str">
        <f>VLOOKUP(B333,Hoja1!$B$1:$C$25,2,0)</f>
        <v>LUISA FERNANDA MEJIA CORREA</v>
      </c>
      <c r="O333" s="1" t="e">
        <f t="shared" si="30"/>
        <v>#REF!</v>
      </c>
    </row>
    <row r="334" spans="1:15" ht="15.75" hidden="1" customHeight="1" x14ac:dyDescent="0.25">
      <c r="A334" s="83">
        <v>158</v>
      </c>
      <c r="B334" s="83" t="s">
        <v>427</v>
      </c>
      <c r="C334" s="60" t="s">
        <v>82</v>
      </c>
      <c r="D334" s="60">
        <v>120</v>
      </c>
      <c r="E334" s="60">
        <v>49</v>
      </c>
      <c r="F334" s="60">
        <v>0</v>
      </c>
      <c r="G334" s="60">
        <v>0</v>
      </c>
      <c r="H334" s="60">
        <v>0</v>
      </c>
      <c r="I334" s="60">
        <v>169</v>
      </c>
      <c r="J334" s="60">
        <v>175</v>
      </c>
      <c r="K334" s="60">
        <v>2</v>
      </c>
      <c r="L334" s="60">
        <f t="shared" ref="L334:L338" si="38">I334-J334</f>
        <v>-6</v>
      </c>
      <c r="M334" s="60"/>
      <c r="N334" s="83" t="str">
        <f>VLOOKUP(B334,Hoja1!$B$1:$C$25,2,0)</f>
        <v>LUISA FERNANDA MEJIA CORREA</v>
      </c>
      <c r="O334" s="1" t="e">
        <f t="shared" si="30"/>
        <v>#REF!</v>
      </c>
    </row>
    <row r="335" spans="1:15" ht="15.75" hidden="1" customHeight="1" x14ac:dyDescent="0.25">
      <c r="A335" s="83">
        <v>159</v>
      </c>
      <c r="B335" s="83" t="s">
        <v>427</v>
      </c>
      <c r="C335" s="60" t="s">
        <v>45</v>
      </c>
      <c r="D335" s="60">
        <v>28</v>
      </c>
      <c r="E335" s="60">
        <v>6</v>
      </c>
      <c r="F335" s="60">
        <v>0</v>
      </c>
      <c r="G335" s="60">
        <v>0</v>
      </c>
      <c r="H335" s="60">
        <v>0</v>
      </c>
      <c r="I335" s="60">
        <v>34</v>
      </c>
      <c r="J335" s="60">
        <v>0</v>
      </c>
      <c r="K335" s="60" t="s">
        <v>463</v>
      </c>
      <c r="L335" s="60">
        <f t="shared" si="38"/>
        <v>34</v>
      </c>
      <c r="M335" s="85">
        <v>45000</v>
      </c>
      <c r="N335" s="83" t="str">
        <f>VLOOKUP(B335,Hoja1!$B$1:$C$25,2,0)</f>
        <v>LUISA FERNANDA MEJIA CORREA</v>
      </c>
      <c r="O335" s="1" t="e">
        <f t="shared" si="30"/>
        <v>#REF!</v>
      </c>
    </row>
    <row r="336" spans="1:15" ht="15.75" hidden="1" customHeight="1" x14ac:dyDescent="0.25">
      <c r="A336" s="83">
        <v>180</v>
      </c>
      <c r="B336" s="83" t="s">
        <v>427</v>
      </c>
      <c r="C336" s="60" t="s">
        <v>82</v>
      </c>
      <c r="D336" s="60">
        <v>38</v>
      </c>
      <c r="E336" s="60">
        <v>142</v>
      </c>
      <c r="F336" s="60">
        <v>0</v>
      </c>
      <c r="G336" s="60">
        <v>0</v>
      </c>
      <c r="H336" s="60">
        <v>0</v>
      </c>
      <c r="I336" s="60">
        <v>180</v>
      </c>
      <c r="J336" s="60">
        <v>0</v>
      </c>
      <c r="K336" s="60">
        <v>0</v>
      </c>
      <c r="L336" s="60">
        <f t="shared" si="38"/>
        <v>180</v>
      </c>
      <c r="M336" s="85">
        <v>45000</v>
      </c>
      <c r="N336" s="83" t="str">
        <f>VLOOKUP(B336,Hoja1!$B$1:$C$25,2,0)</f>
        <v>LUISA FERNANDA MEJIA CORREA</v>
      </c>
      <c r="O336" s="1" t="e">
        <f t="shared" si="30"/>
        <v>#REF!</v>
      </c>
    </row>
    <row r="337" spans="1:15" ht="15.75" hidden="1" customHeight="1" x14ac:dyDescent="0.25">
      <c r="A337" s="83">
        <v>181</v>
      </c>
      <c r="B337" s="83" t="s">
        <v>427</v>
      </c>
      <c r="C337" s="60" t="s">
        <v>82</v>
      </c>
      <c r="D337" s="60">
        <v>297</v>
      </c>
      <c r="E337" s="60">
        <v>228</v>
      </c>
      <c r="F337" s="60">
        <v>600</v>
      </c>
      <c r="G337" s="60">
        <v>0</v>
      </c>
      <c r="H337" s="60">
        <v>330</v>
      </c>
      <c r="I337" s="60">
        <v>1455</v>
      </c>
      <c r="J337" s="60">
        <v>364</v>
      </c>
      <c r="K337" s="60">
        <v>3</v>
      </c>
      <c r="L337" s="60">
        <f t="shared" si="38"/>
        <v>1091</v>
      </c>
      <c r="M337" s="84">
        <v>45016</v>
      </c>
      <c r="N337" s="83" t="str">
        <f>VLOOKUP(B337,Hoja1!$B$1:$C$25,2,0)</f>
        <v>LUISA FERNANDA MEJIA CORREA</v>
      </c>
      <c r="O337" s="1" t="e">
        <f t="shared" si="30"/>
        <v>#REF!</v>
      </c>
    </row>
    <row r="338" spans="1:15" ht="15.75" hidden="1" customHeight="1" x14ac:dyDescent="0.25">
      <c r="A338" s="83">
        <v>182</v>
      </c>
      <c r="B338" s="83" t="s">
        <v>427</v>
      </c>
      <c r="C338" s="60" t="s">
        <v>45</v>
      </c>
      <c r="D338" s="60">
        <v>7</v>
      </c>
      <c r="E338" s="60">
        <v>20</v>
      </c>
      <c r="F338" s="60">
        <v>0</v>
      </c>
      <c r="G338" s="60">
        <v>0</v>
      </c>
      <c r="H338" s="60">
        <v>0</v>
      </c>
      <c r="I338" s="60">
        <v>27</v>
      </c>
      <c r="J338" s="60">
        <v>0</v>
      </c>
      <c r="K338" s="60" t="s">
        <v>463</v>
      </c>
      <c r="L338" s="60">
        <f t="shared" si="38"/>
        <v>27</v>
      </c>
      <c r="M338" s="85">
        <v>45000</v>
      </c>
      <c r="N338" s="83" t="str">
        <f>VLOOKUP(B338,Hoja1!$B$1:$C$25,2,0)</f>
        <v>LUISA FERNANDA MEJIA CORREA</v>
      </c>
      <c r="O338" s="1" t="e">
        <f t="shared" si="30"/>
        <v>#REF!</v>
      </c>
    </row>
    <row r="339" spans="1:15" ht="15.75" hidden="1" customHeight="1" x14ac:dyDescent="0.25">
      <c r="A339" s="83">
        <v>190</v>
      </c>
      <c r="B339" s="83" t="s">
        <v>427</v>
      </c>
      <c r="C339" s="60"/>
      <c r="D339" s="60"/>
      <c r="E339" s="60"/>
      <c r="F339" s="60"/>
      <c r="G339" s="60"/>
      <c r="H339" s="60"/>
      <c r="I339" s="60"/>
      <c r="J339" s="60">
        <v>0</v>
      </c>
      <c r="K339" s="60"/>
      <c r="L339" s="60"/>
      <c r="M339" s="60"/>
      <c r="N339" s="83" t="str">
        <f>VLOOKUP(B339,Hoja1!$B$1:$C$25,2,0)</f>
        <v>LUISA FERNANDA MEJIA CORREA</v>
      </c>
      <c r="O339" s="1" t="e">
        <f t="shared" si="30"/>
        <v>#REF!</v>
      </c>
    </row>
    <row r="340" spans="1:15" ht="15.75" hidden="1" customHeight="1" x14ac:dyDescent="0.25">
      <c r="A340" s="83">
        <v>218</v>
      </c>
      <c r="B340" s="83" t="s">
        <v>427</v>
      </c>
      <c r="C340" s="60" t="s">
        <v>45</v>
      </c>
      <c r="D340" s="60">
        <v>26</v>
      </c>
      <c r="E340" s="60">
        <v>15</v>
      </c>
      <c r="F340" s="60">
        <v>0</v>
      </c>
      <c r="G340" s="60">
        <v>0</v>
      </c>
      <c r="H340" s="60">
        <v>0</v>
      </c>
      <c r="I340" s="60">
        <v>41</v>
      </c>
      <c r="J340" s="60">
        <v>0</v>
      </c>
      <c r="K340" s="60">
        <v>0</v>
      </c>
      <c r="L340" s="60">
        <f>I340-J340</f>
        <v>41</v>
      </c>
      <c r="M340" s="85">
        <v>44985</v>
      </c>
      <c r="N340" s="83" t="str">
        <f>VLOOKUP(B340,Hoja1!$B$1:$C$25,2,0)</f>
        <v>LUISA FERNANDA MEJIA CORREA</v>
      </c>
      <c r="O340" s="1" t="e">
        <f t="shared" si="30"/>
        <v>#REF!</v>
      </c>
    </row>
    <row r="341" spans="1:15" ht="15.75" hidden="1" customHeight="1" x14ac:dyDescent="0.25">
      <c r="A341" s="83">
        <v>270</v>
      </c>
      <c r="B341" s="83" t="s">
        <v>427</v>
      </c>
      <c r="C341" s="60" t="s">
        <v>45</v>
      </c>
      <c r="D341" s="60" t="e">
        <v>#N/A</v>
      </c>
      <c r="E341" s="60" t="e">
        <v>#N/A</v>
      </c>
      <c r="F341" s="60">
        <v>0</v>
      </c>
      <c r="G341" s="60">
        <v>0</v>
      </c>
      <c r="H341" s="60">
        <v>0</v>
      </c>
      <c r="I341" s="60" t="e">
        <v>#N/A</v>
      </c>
      <c r="J341" s="60">
        <v>0</v>
      </c>
      <c r="K341" s="60">
        <v>0</v>
      </c>
      <c r="L341" s="60" t="s">
        <v>18</v>
      </c>
      <c r="M341" s="60"/>
      <c r="N341" s="83" t="str">
        <f>VLOOKUP(B341,Hoja1!$B$1:$C$25,2,0)</f>
        <v>LUISA FERNANDA MEJIA CORREA</v>
      </c>
      <c r="O341" s="1" t="e">
        <f t="shared" si="30"/>
        <v>#REF!</v>
      </c>
    </row>
    <row r="342" spans="1:15" ht="15.75" hidden="1" customHeight="1" x14ac:dyDescent="0.25">
      <c r="A342" s="83" t="s">
        <v>426</v>
      </c>
      <c r="B342" s="83" t="s">
        <v>427</v>
      </c>
      <c r="C342" s="60" t="s">
        <v>82</v>
      </c>
      <c r="D342" s="60">
        <v>518</v>
      </c>
      <c r="E342" s="60">
        <v>219</v>
      </c>
      <c r="F342" s="60">
        <v>0</v>
      </c>
      <c r="G342" s="60">
        <v>0</v>
      </c>
      <c r="H342" s="60">
        <v>0</v>
      </c>
      <c r="I342" s="60">
        <v>737</v>
      </c>
      <c r="J342" s="60">
        <v>188</v>
      </c>
      <c r="K342" s="60">
        <v>2</v>
      </c>
      <c r="L342" s="60" t="s">
        <v>18</v>
      </c>
      <c r="M342" s="60"/>
      <c r="N342" s="83" t="str">
        <f>VLOOKUP(B342,Hoja1!$B$1:$C$25,2,0)</f>
        <v>LUISA FERNANDA MEJIA CORREA</v>
      </c>
      <c r="O342" s="1" t="e">
        <f t="shared" si="30"/>
        <v>#REF!</v>
      </c>
    </row>
    <row r="343" spans="1:15" ht="15.75" hidden="1" customHeight="1" x14ac:dyDescent="0.25">
      <c r="A343" s="83" t="s">
        <v>431</v>
      </c>
      <c r="B343" s="83" t="s">
        <v>427</v>
      </c>
      <c r="C343" s="60" t="s">
        <v>82</v>
      </c>
      <c r="D343" s="60">
        <v>208</v>
      </c>
      <c r="E343" s="60">
        <v>133</v>
      </c>
      <c r="F343" s="60">
        <v>0</v>
      </c>
      <c r="G343" s="60">
        <v>0</v>
      </c>
      <c r="H343" s="60">
        <v>0</v>
      </c>
      <c r="I343" s="60">
        <v>341</v>
      </c>
      <c r="J343" s="60">
        <v>63</v>
      </c>
      <c r="K343" s="60">
        <v>3</v>
      </c>
      <c r="L343" s="60">
        <f t="shared" ref="L343:L346" si="39">I343-J343</f>
        <v>278</v>
      </c>
      <c r="M343" s="85">
        <v>44985</v>
      </c>
      <c r="N343" s="83" t="str">
        <f>VLOOKUP(B343,Hoja1!$B$1:$C$25,2,0)</f>
        <v>LUISA FERNANDA MEJIA CORREA</v>
      </c>
      <c r="O343" s="1" t="e">
        <f t="shared" si="30"/>
        <v>#REF!</v>
      </c>
    </row>
    <row r="344" spans="1:15" ht="15.75" hidden="1" customHeight="1" x14ac:dyDescent="0.25">
      <c r="A344" s="83" t="s">
        <v>428</v>
      </c>
      <c r="B344" s="83" t="s">
        <v>427</v>
      </c>
      <c r="C344" s="60" t="s">
        <v>82</v>
      </c>
      <c r="D344" s="60">
        <v>48</v>
      </c>
      <c r="E344" s="60">
        <v>7</v>
      </c>
      <c r="F344" s="60">
        <v>0</v>
      </c>
      <c r="G344" s="60">
        <v>0</v>
      </c>
      <c r="H344" s="60">
        <v>0</v>
      </c>
      <c r="I344" s="60">
        <v>55</v>
      </c>
      <c r="J344" s="60">
        <v>39</v>
      </c>
      <c r="K344" s="60">
        <v>1</v>
      </c>
      <c r="L344" s="60">
        <f t="shared" si="39"/>
        <v>16</v>
      </c>
      <c r="M344" s="85">
        <v>44985</v>
      </c>
      <c r="N344" s="83" t="str">
        <f>VLOOKUP(B344,Hoja1!$B$1:$C$25,2,0)</f>
        <v>LUISA FERNANDA MEJIA CORREA</v>
      </c>
      <c r="O344" s="1" t="e">
        <f t="shared" si="30"/>
        <v>#REF!</v>
      </c>
    </row>
    <row r="345" spans="1:15" ht="15.75" hidden="1" customHeight="1" x14ac:dyDescent="0.25">
      <c r="A345" s="83" t="s">
        <v>429</v>
      </c>
      <c r="B345" s="83" t="s">
        <v>427</v>
      </c>
      <c r="C345" s="60" t="s">
        <v>82</v>
      </c>
      <c r="D345" s="60">
        <v>144</v>
      </c>
      <c r="E345" s="60">
        <v>122</v>
      </c>
      <c r="F345" s="60">
        <v>0</v>
      </c>
      <c r="G345" s="60">
        <v>0</v>
      </c>
      <c r="H345" s="60">
        <v>0</v>
      </c>
      <c r="I345" s="60">
        <v>266</v>
      </c>
      <c r="J345" s="60">
        <v>97</v>
      </c>
      <c r="K345" s="60">
        <v>2</v>
      </c>
      <c r="L345" s="60">
        <f t="shared" si="39"/>
        <v>169</v>
      </c>
      <c r="M345" s="85">
        <v>45000</v>
      </c>
      <c r="N345" s="83" t="str">
        <f>VLOOKUP(B345,Hoja1!$B$1:$C$25,2,0)</f>
        <v>LUISA FERNANDA MEJIA CORREA</v>
      </c>
      <c r="O345" s="1" t="e">
        <f t="shared" si="30"/>
        <v>#REF!</v>
      </c>
    </row>
    <row r="346" spans="1:15" ht="15.75" hidden="1" customHeight="1" x14ac:dyDescent="0.25">
      <c r="A346" s="83" t="s">
        <v>430</v>
      </c>
      <c r="B346" s="83" t="s">
        <v>427</v>
      </c>
      <c r="C346" s="60" t="s">
        <v>82</v>
      </c>
      <c r="D346" s="60">
        <v>272</v>
      </c>
      <c r="E346" s="60">
        <v>70</v>
      </c>
      <c r="F346" s="60">
        <v>0</v>
      </c>
      <c r="G346" s="60">
        <v>0</v>
      </c>
      <c r="H346" s="60">
        <v>0</v>
      </c>
      <c r="I346" s="60">
        <v>342</v>
      </c>
      <c r="J346" s="60">
        <v>284</v>
      </c>
      <c r="K346" s="60">
        <v>2</v>
      </c>
      <c r="L346" s="60">
        <f t="shared" si="39"/>
        <v>58</v>
      </c>
      <c r="M346" s="85">
        <v>44985</v>
      </c>
      <c r="N346" s="83" t="str">
        <f>VLOOKUP(B346,Hoja1!$B$1:$C$25,2,0)</f>
        <v>LUISA FERNANDA MEJIA CORREA</v>
      </c>
      <c r="O346" s="1" t="e">
        <f t="shared" si="30"/>
        <v>#REF!</v>
      </c>
    </row>
    <row r="347" spans="1:15" ht="15.75" hidden="1" customHeight="1" x14ac:dyDescent="0.25">
      <c r="A347" s="83">
        <v>355</v>
      </c>
      <c r="B347" s="83" t="s">
        <v>427</v>
      </c>
      <c r="C347" s="60"/>
      <c r="D347" s="60"/>
      <c r="E347" s="60"/>
      <c r="F347" s="60"/>
      <c r="G347" s="60"/>
      <c r="H347" s="60"/>
      <c r="I347" s="60"/>
      <c r="J347" s="60">
        <v>221</v>
      </c>
      <c r="K347" s="60"/>
      <c r="L347" s="60" t="s">
        <v>18</v>
      </c>
      <c r="M347" s="60"/>
      <c r="N347" s="83" t="str">
        <f>VLOOKUP(B347,Hoja1!$B$1:$C$25,2,0)</f>
        <v>LUISA FERNANDA MEJIA CORREA</v>
      </c>
      <c r="O347" s="1" t="e">
        <f t="shared" si="30"/>
        <v>#REF!</v>
      </c>
    </row>
    <row r="348" spans="1:15" ht="15.75" hidden="1" customHeight="1" x14ac:dyDescent="0.25">
      <c r="A348" s="83">
        <v>32</v>
      </c>
      <c r="B348" s="83" t="s">
        <v>432</v>
      </c>
      <c r="C348" s="60" t="s">
        <v>82</v>
      </c>
      <c r="D348" s="60">
        <v>232</v>
      </c>
      <c r="E348" s="60">
        <v>59</v>
      </c>
      <c r="F348" s="60">
        <v>246</v>
      </c>
      <c r="G348" s="60">
        <v>0</v>
      </c>
      <c r="H348" s="60">
        <v>120</v>
      </c>
      <c r="I348" s="60">
        <v>657</v>
      </c>
      <c r="J348" s="60">
        <v>0</v>
      </c>
      <c r="K348" s="60">
        <v>2</v>
      </c>
      <c r="L348" s="60">
        <f>I348-J348</f>
        <v>657</v>
      </c>
      <c r="M348" s="84" t="s">
        <v>464</v>
      </c>
      <c r="N348" s="83" t="str">
        <f>VLOOKUP(B348,Hoja1!$B$1:$C$25,2,0)</f>
        <v>LUISA FERNANDA MEJIA CORREA</v>
      </c>
      <c r="O348" s="1" t="e">
        <f t="shared" si="30"/>
        <v>#REF!</v>
      </c>
    </row>
    <row r="349" spans="1:15" ht="15.75" hidden="1" customHeight="1" x14ac:dyDescent="0.25">
      <c r="A349" s="83">
        <v>75</v>
      </c>
      <c r="B349" s="83" t="s">
        <v>432</v>
      </c>
      <c r="C349" s="60" t="s">
        <v>82</v>
      </c>
      <c r="D349" s="60">
        <v>66</v>
      </c>
      <c r="E349" s="60">
        <v>43</v>
      </c>
      <c r="F349" s="60">
        <v>0</v>
      </c>
      <c r="G349" s="60">
        <v>0</v>
      </c>
      <c r="H349" s="60">
        <v>0</v>
      </c>
      <c r="I349" s="60">
        <v>109</v>
      </c>
      <c r="J349" s="60">
        <v>26</v>
      </c>
      <c r="K349" s="60">
        <v>6</v>
      </c>
      <c r="L349" s="60" t="s">
        <v>18</v>
      </c>
      <c r="M349" s="60"/>
      <c r="N349" s="83" t="str">
        <f>VLOOKUP(B349,Hoja1!$B$1:$C$25,2,0)</f>
        <v>LUISA FERNANDA MEJIA CORREA</v>
      </c>
      <c r="O349" s="1" t="e">
        <f t="shared" si="30"/>
        <v>#REF!</v>
      </c>
    </row>
    <row r="350" spans="1:15" ht="15.75" hidden="1" customHeight="1" x14ac:dyDescent="0.25">
      <c r="A350" s="83">
        <v>76</v>
      </c>
      <c r="B350" s="83" t="s">
        <v>432</v>
      </c>
      <c r="C350" s="60" t="s">
        <v>45</v>
      </c>
      <c r="D350" s="60">
        <v>16</v>
      </c>
      <c r="E350" s="60">
        <v>1</v>
      </c>
      <c r="F350" s="60">
        <v>0</v>
      </c>
      <c r="G350" s="60">
        <v>0</v>
      </c>
      <c r="H350" s="60">
        <v>0</v>
      </c>
      <c r="I350" s="60">
        <v>17</v>
      </c>
      <c r="J350" s="60">
        <v>0</v>
      </c>
      <c r="K350" s="60">
        <v>0</v>
      </c>
      <c r="L350" s="60">
        <v>0</v>
      </c>
      <c r="M350" s="60"/>
      <c r="N350" s="83" t="str">
        <f>VLOOKUP(B350,Hoja1!$B$1:$C$25,2,0)</f>
        <v>LUISA FERNANDA MEJIA CORREA</v>
      </c>
      <c r="O350" s="1" t="e">
        <f t="shared" si="30"/>
        <v>#REF!</v>
      </c>
    </row>
    <row r="351" spans="1:15" ht="15.75" hidden="1" customHeight="1" x14ac:dyDescent="0.25">
      <c r="A351" s="83">
        <v>77</v>
      </c>
      <c r="B351" s="83" t="s">
        <v>432</v>
      </c>
      <c r="C351" s="60" t="s">
        <v>82</v>
      </c>
      <c r="D351" s="60">
        <v>86</v>
      </c>
      <c r="E351" s="60">
        <v>11</v>
      </c>
      <c r="F351" s="60">
        <v>0</v>
      </c>
      <c r="G351" s="60">
        <v>0</v>
      </c>
      <c r="H351" s="60">
        <v>0</v>
      </c>
      <c r="I351" s="60">
        <v>97</v>
      </c>
      <c r="J351" s="60">
        <v>429</v>
      </c>
      <c r="K351" s="60">
        <v>1</v>
      </c>
      <c r="L351" s="60" t="s">
        <v>18</v>
      </c>
      <c r="M351" s="60"/>
      <c r="N351" s="83" t="str">
        <f>VLOOKUP(B351,Hoja1!$B$1:$C$25,2,0)</f>
        <v>LUISA FERNANDA MEJIA CORREA</v>
      </c>
      <c r="O351" s="1" t="e">
        <f t="shared" si="30"/>
        <v>#REF!</v>
      </c>
    </row>
    <row r="352" spans="1:15" ht="15.75" hidden="1" customHeight="1" x14ac:dyDescent="0.25">
      <c r="A352" s="83">
        <v>78</v>
      </c>
      <c r="B352" s="83" t="s">
        <v>432</v>
      </c>
      <c r="C352" s="60" t="s">
        <v>82</v>
      </c>
      <c r="D352" s="60">
        <v>65</v>
      </c>
      <c r="E352" s="60">
        <v>80</v>
      </c>
      <c r="F352" s="60">
        <v>0</v>
      </c>
      <c r="G352" s="60">
        <v>0</v>
      </c>
      <c r="H352" s="60">
        <v>0</v>
      </c>
      <c r="I352" s="60">
        <v>145</v>
      </c>
      <c r="J352" s="60">
        <v>28</v>
      </c>
      <c r="K352" s="60">
        <v>2</v>
      </c>
      <c r="L352" s="60" t="s">
        <v>18</v>
      </c>
      <c r="M352" s="60"/>
      <c r="N352" s="83" t="str">
        <f>VLOOKUP(B352,Hoja1!$B$1:$C$25,2,0)</f>
        <v>LUISA FERNANDA MEJIA CORREA</v>
      </c>
      <c r="O352" s="1" t="e">
        <f t="shared" si="30"/>
        <v>#REF!</v>
      </c>
    </row>
    <row r="353" spans="1:15" ht="15.75" hidden="1" customHeight="1" x14ac:dyDescent="0.25">
      <c r="A353" s="83">
        <v>149</v>
      </c>
      <c r="B353" s="83" t="s">
        <v>432</v>
      </c>
      <c r="C353" s="60" t="s">
        <v>82</v>
      </c>
      <c r="D353" s="60">
        <v>155</v>
      </c>
      <c r="E353" s="60">
        <v>104</v>
      </c>
      <c r="F353" s="60">
        <v>0</v>
      </c>
      <c r="G353" s="60">
        <v>0</v>
      </c>
      <c r="H353" s="60">
        <v>0</v>
      </c>
      <c r="I353" s="60">
        <v>259</v>
      </c>
      <c r="J353" s="60">
        <v>0</v>
      </c>
      <c r="K353" s="60">
        <v>4</v>
      </c>
      <c r="L353" s="60">
        <f>I353-J353</f>
        <v>259</v>
      </c>
      <c r="M353" s="85">
        <v>45000</v>
      </c>
      <c r="N353" s="83" t="str">
        <f>VLOOKUP(B353,Hoja1!$B$1:$C$25,2,0)</f>
        <v>LUISA FERNANDA MEJIA CORREA</v>
      </c>
      <c r="O353" s="1" t="e">
        <f t="shared" si="30"/>
        <v>#REF!</v>
      </c>
    </row>
    <row r="354" spans="1:15" ht="15.75" hidden="1" customHeight="1" x14ac:dyDescent="0.25">
      <c r="A354" s="83">
        <v>150</v>
      </c>
      <c r="B354" s="83" t="s">
        <v>432</v>
      </c>
      <c r="C354" s="60" t="s">
        <v>82</v>
      </c>
      <c r="D354" s="60">
        <v>60</v>
      </c>
      <c r="E354" s="60">
        <v>52</v>
      </c>
      <c r="F354" s="60">
        <v>0</v>
      </c>
      <c r="G354" s="60">
        <v>0</v>
      </c>
      <c r="H354" s="60">
        <v>0</v>
      </c>
      <c r="I354" s="60">
        <v>112</v>
      </c>
      <c r="J354" s="60">
        <v>116</v>
      </c>
      <c r="K354" s="60">
        <v>2</v>
      </c>
      <c r="L354" s="60" t="s">
        <v>18</v>
      </c>
      <c r="M354" s="60"/>
      <c r="N354" s="83" t="str">
        <f>VLOOKUP(B354,Hoja1!$B$1:$C$25,2,0)</f>
        <v>LUISA FERNANDA MEJIA CORREA</v>
      </c>
      <c r="O354" s="1" t="e">
        <f t="shared" si="30"/>
        <v>#REF!</v>
      </c>
    </row>
    <row r="355" spans="1:15" ht="15.75" hidden="1" customHeight="1" x14ac:dyDescent="0.25">
      <c r="A355" s="83">
        <v>152</v>
      </c>
      <c r="B355" s="83" t="s">
        <v>432</v>
      </c>
      <c r="C355" s="60" t="s">
        <v>45</v>
      </c>
      <c r="D355" s="60">
        <v>41</v>
      </c>
      <c r="E355" s="60">
        <v>0</v>
      </c>
      <c r="F355" s="60">
        <v>0</v>
      </c>
      <c r="G355" s="60">
        <v>0</v>
      </c>
      <c r="H355" s="60">
        <v>0</v>
      </c>
      <c r="I355" s="60">
        <v>41</v>
      </c>
      <c r="J355" s="60">
        <v>0</v>
      </c>
      <c r="K355" s="60">
        <v>0</v>
      </c>
      <c r="L355" s="60">
        <v>0</v>
      </c>
      <c r="M355" s="60"/>
      <c r="N355" s="83" t="str">
        <f>VLOOKUP(B355,Hoja1!$B$1:$C$25,2,0)</f>
        <v>LUISA FERNANDA MEJIA CORREA</v>
      </c>
      <c r="O355" s="1" t="e">
        <f t="shared" si="30"/>
        <v>#REF!</v>
      </c>
    </row>
    <row r="356" spans="1:15" ht="15.75" hidden="1" customHeight="1" x14ac:dyDescent="0.25">
      <c r="A356" s="83">
        <v>201</v>
      </c>
      <c r="B356" s="83" t="s">
        <v>432</v>
      </c>
      <c r="C356" s="60">
        <v>0</v>
      </c>
      <c r="D356" s="60">
        <v>0</v>
      </c>
      <c r="E356" s="60">
        <v>0</v>
      </c>
      <c r="F356" s="60">
        <v>725</v>
      </c>
      <c r="G356" s="60">
        <v>0</v>
      </c>
      <c r="H356" s="60">
        <v>0</v>
      </c>
      <c r="I356" s="60">
        <v>725</v>
      </c>
      <c r="J356" s="60">
        <v>0</v>
      </c>
      <c r="K356" s="60">
        <v>0</v>
      </c>
      <c r="L356" s="60">
        <f>I356-J356</f>
        <v>725</v>
      </c>
      <c r="M356" s="84">
        <v>45046</v>
      </c>
      <c r="N356" s="83" t="str">
        <f>VLOOKUP(B356,Hoja1!$B$1:$C$25,2,0)</f>
        <v>LUISA FERNANDA MEJIA CORREA</v>
      </c>
      <c r="O356" s="1" t="e">
        <f t="shared" si="30"/>
        <v>#REF!</v>
      </c>
    </row>
    <row r="357" spans="1:15" ht="15.75" hidden="1" customHeight="1" x14ac:dyDescent="0.25">
      <c r="A357" s="83">
        <v>206</v>
      </c>
      <c r="B357" s="83" t="s">
        <v>432</v>
      </c>
      <c r="C357" s="60" t="s">
        <v>82</v>
      </c>
      <c r="D357" s="60">
        <v>183</v>
      </c>
      <c r="E357" s="60">
        <v>96</v>
      </c>
      <c r="F357" s="60">
        <v>0</v>
      </c>
      <c r="G357" s="60">
        <v>0</v>
      </c>
      <c r="H357" s="60">
        <v>0</v>
      </c>
      <c r="I357" s="60">
        <v>279</v>
      </c>
      <c r="J357" s="60">
        <v>157</v>
      </c>
      <c r="K357" s="60">
        <v>3</v>
      </c>
      <c r="L357" s="60" t="s">
        <v>18</v>
      </c>
      <c r="M357" s="60"/>
      <c r="N357" s="83" t="str">
        <f>VLOOKUP(B357,Hoja1!$B$1:$C$25,2,0)</f>
        <v>LUISA FERNANDA MEJIA CORREA</v>
      </c>
      <c r="O357" s="1" t="e">
        <f t="shared" si="30"/>
        <v>#REF!</v>
      </c>
    </row>
    <row r="358" spans="1:15" ht="15.75" hidden="1" customHeight="1" x14ac:dyDescent="0.25">
      <c r="A358" s="83">
        <v>242</v>
      </c>
      <c r="B358" s="83" t="s">
        <v>432</v>
      </c>
      <c r="C358" s="60" t="s">
        <v>45</v>
      </c>
      <c r="D358" s="60">
        <v>2</v>
      </c>
      <c r="E358" s="60">
        <v>104</v>
      </c>
      <c r="F358" s="60">
        <v>0</v>
      </c>
      <c r="G358" s="60">
        <v>0</v>
      </c>
      <c r="H358" s="60">
        <v>0</v>
      </c>
      <c r="I358" s="60">
        <v>106</v>
      </c>
      <c r="J358" s="60">
        <v>0</v>
      </c>
      <c r="K358" s="60">
        <v>0</v>
      </c>
      <c r="L358" s="60">
        <f>I358-J358</f>
        <v>106</v>
      </c>
      <c r="M358" s="84">
        <v>45046</v>
      </c>
      <c r="N358" s="83" t="str">
        <f>VLOOKUP(B358,Hoja1!$B$1:$C$25,2,0)</f>
        <v>LUISA FERNANDA MEJIA CORREA</v>
      </c>
      <c r="O358" s="1" t="e">
        <f t="shared" si="30"/>
        <v>#REF!</v>
      </c>
    </row>
    <row r="359" spans="1:15" ht="15.75" hidden="1" customHeight="1" x14ac:dyDescent="0.25">
      <c r="A359" s="83">
        <v>262</v>
      </c>
      <c r="B359" s="83" t="s">
        <v>432</v>
      </c>
      <c r="C359" s="60" t="s">
        <v>82</v>
      </c>
      <c r="D359" s="60" t="e">
        <v>#N/A</v>
      </c>
      <c r="E359" s="60" t="e">
        <v>#N/A</v>
      </c>
      <c r="F359" s="60">
        <v>0</v>
      </c>
      <c r="G359" s="60">
        <v>0</v>
      </c>
      <c r="H359" s="60">
        <v>0</v>
      </c>
      <c r="I359" s="60" t="e">
        <v>#N/A</v>
      </c>
      <c r="J359" s="60">
        <v>0</v>
      </c>
      <c r="K359" s="60">
        <v>0</v>
      </c>
      <c r="L359" s="60">
        <v>0</v>
      </c>
      <c r="M359" s="60"/>
      <c r="N359" s="83" t="str">
        <f>VLOOKUP(B359,Hoja1!$B$1:$C$25,2,0)</f>
        <v>LUISA FERNANDA MEJIA CORREA</v>
      </c>
      <c r="O359" s="1" t="e">
        <f t="shared" si="30"/>
        <v>#REF!</v>
      </c>
    </row>
    <row r="360" spans="1:15" ht="15.75" hidden="1" customHeight="1" x14ac:dyDescent="0.25">
      <c r="A360" s="83" t="s">
        <v>398</v>
      </c>
      <c r="B360" s="83" t="s">
        <v>432</v>
      </c>
      <c r="C360" s="60" t="s">
        <v>82</v>
      </c>
      <c r="D360" s="60">
        <v>0</v>
      </c>
      <c r="E360" s="60">
        <v>0</v>
      </c>
      <c r="F360" s="60">
        <v>0</v>
      </c>
      <c r="G360" s="60">
        <v>0</v>
      </c>
      <c r="H360" s="60">
        <v>0</v>
      </c>
      <c r="I360" s="60">
        <v>0</v>
      </c>
      <c r="J360" s="60">
        <v>138</v>
      </c>
      <c r="K360" s="60">
        <v>0</v>
      </c>
      <c r="L360" s="60" t="s">
        <v>18</v>
      </c>
      <c r="M360" s="60"/>
      <c r="N360" s="83" t="str">
        <f>VLOOKUP(B360,Hoja1!$B$1:$C$25,2,0)</f>
        <v>LUISA FERNANDA MEJIA CORREA</v>
      </c>
      <c r="O360" s="1" t="e">
        <f t="shared" si="30"/>
        <v>#REF!</v>
      </c>
    </row>
    <row r="361" spans="1:15" ht="15.75" hidden="1" customHeight="1" x14ac:dyDescent="0.25">
      <c r="A361" s="83" t="s">
        <v>418</v>
      </c>
      <c r="B361" s="83" t="s">
        <v>432</v>
      </c>
      <c r="C361" s="60" t="s">
        <v>82</v>
      </c>
      <c r="D361" s="60">
        <v>135</v>
      </c>
      <c r="E361" s="60">
        <v>146</v>
      </c>
      <c r="F361" s="60">
        <v>0</v>
      </c>
      <c r="G361" s="60">
        <v>0</v>
      </c>
      <c r="H361" s="60">
        <v>0</v>
      </c>
      <c r="I361" s="60">
        <v>281</v>
      </c>
      <c r="J361" s="60">
        <v>233</v>
      </c>
      <c r="K361" s="60">
        <v>0</v>
      </c>
      <c r="L361" s="60" t="s">
        <v>18</v>
      </c>
      <c r="M361" s="60"/>
      <c r="N361" s="83" t="str">
        <f>VLOOKUP(B361,Hoja1!$B$1:$C$25,2,0)</f>
        <v>LUISA FERNANDA MEJIA CORREA</v>
      </c>
      <c r="O361" s="1" t="e">
        <f t="shared" si="30"/>
        <v>#REF!</v>
      </c>
    </row>
    <row r="362" spans="1:15" ht="15.75" hidden="1" customHeight="1" x14ac:dyDescent="0.25">
      <c r="A362" s="83">
        <v>350</v>
      </c>
      <c r="B362" s="83" t="s">
        <v>432</v>
      </c>
      <c r="C362" s="60"/>
      <c r="D362" s="60"/>
      <c r="E362" s="60"/>
      <c r="F362" s="60"/>
      <c r="G362" s="60"/>
      <c r="H362" s="60"/>
      <c r="I362" s="60"/>
      <c r="J362" s="60">
        <v>0</v>
      </c>
      <c r="K362" s="60"/>
      <c r="L362" s="60"/>
      <c r="M362" s="60"/>
      <c r="N362" s="83" t="str">
        <f>VLOOKUP(B362,Hoja1!$B$1:$C$25,2,0)</f>
        <v>LUISA FERNANDA MEJIA CORREA</v>
      </c>
      <c r="O362" s="1" t="e">
        <f t="shared" si="30"/>
        <v>#REF!</v>
      </c>
    </row>
    <row r="363" spans="1:15" ht="15.75" hidden="1" customHeight="1" x14ac:dyDescent="0.25">
      <c r="A363" s="83">
        <v>21</v>
      </c>
      <c r="B363" s="83" t="s">
        <v>436</v>
      </c>
      <c r="C363" s="60" t="s">
        <v>82</v>
      </c>
      <c r="D363" s="60">
        <v>613</v>
      </c>
      <c r="E363" s="60">
        <v>87</v>
      </c>
      <c r="F363" s="60">
        <v>12</v>
      </c>
      <c r="G363" s="60">
        <v>77</v>
      </c>
      <c r="H363" s="60">
        <v>1</v>
      </c>
      <c r="I363" s="60">
        <v>790</v>
      </c>
      <c r="J363" s="60">
        <v>284</v>
      </c>
      <c r="K363" s="60">
        <v>6</v>
      </c>
      <c r="L363" s="60">
        <f>I363-J363</f>
        <v>506</v>
      </c>
      <c r="M363" s="85">
        <v>45000</v>
      </c>
      <c r="N363" s="83" t="str">
        <f>VLOOKUP(B363,Hoja1!$B$1:$C$25,2,0)</f>
        <v>LUISA FERNANDA MEJIA CORREA</v>
      </c>
      <c r="O363" s="1" t="e">
        <f t="shared" si="30"/>
        <v>#REF!</v>
      </c>
    </row>
    <row r="364" spans="1:15" ht="15.75" hidden="1" customHeight="1" x14ac:dyDescent="0.25">
      <c r="A364" s="83">
        <v>251</v>
      </c>
      <c r="B364" s="83" t="s">
        <v>436</v>
      </c>
      <c r="C364" s="60" t="s">
        <v>82</v>
      </c>
      <c r="D364" s="60" t="e">
        <v>#N/A</v>
      </c>
      <c r="E364" s="60" t="e">
        <v>#N/A</v>
      </c>
      <c r="F364" s="60">
        <v>0</v>
      </c>
      <c r="G364" s="60">
        <v>0</v>
      </c>
      <c r="H364" s="60">
        <v>0</v>
      </c>
      <c r="I364" s="60" t="e">
        <v>#N/A</v>
      </c>
      <c r="J364" s="60">
        <v>4</v>
      </c>
      <c r="K364" s="60">
        <v>1</v>
      </c>
      <c r="L364" s="60" t="s">
        <v>18</v>
      </c>
      <c r="M364" s="85">
        <v>44985</v>
      </c>
      <c r="N364" s="83" t="str">
        <f>VLOOKUP(B364,Hoja1!$B$1:$C$25,2,0)</f>
        <v>LUISA FERNANDA MEJIA CORREA</v>
      </c>
      <c r="O364" s="1" t="e">
        <f t="shared" si="30"/>
        <v>#REF!</v>
      </c>
    </row>
    <row r="365" spans="1:15" ht="15.75" hidden="1" customHeight="1" x14ac:dyDescent="0.25">
      <c r="A365" s="83">
        <v>272</v>
      </c>
      <c r="B365" s="83" t="s">
        <v>436</v>
      </c>
      <c r="C365" s="60" t="s">
        <v>82</v>
      </c>
      <c r="D365" s="60" t="e">
        <v>#N/A</v>
      </c>
      <c r="E365" s="60" t="e">
        <v>#N/A</v>
      </c>
      <c r="F365" s="60">
        <v>78</v>
      </c>
      <c r="G365" s="60">
        <v>19</v>
      </c>
      <c r="H365" s="60">
        <v>4</v>
      </c>
      <c r="I365" s="60" t="e">
        <v>#N/A</v>
      </c>
      <c r="J365" s="60">
        <v>54</v>
      </c>
      <c r="K365" s="60">
        <v>1</v>
      </c>
      <c r="L365" s="60" t="s">
        <v>18</v>
      </c>
      <c r="M365" s="85">
        <v>44985</v>
      </c>
      <c r="N365" s="83" t="str">
        <f>VLOOKUP(B365,Hoja1!$B$1:$C$25,2,0)</f>
        <v>LUISA FERNANDA MEJIA CORREA</v>
      </c>
      <c r="O365" s="1" t="e">
        <f t="shared" si="30"/>
        <v>#REF!</v>
      </c>
    </row>
    <row r="366" spans="1:15" ht="15.75" hidden="1" customHeight="1" x14ac:dyDescent="0.25">
      <c r="A366" s="83">
        <v>274</v>
      </c>
      <c r="B366" s="83" t="s">
        <v>436</v>
      </c>
      <c r="C366" s="60" t="s">
        <v>82</v>
      </c>
      <c r="D366" s="60" t="e">
        <v>#N/A</v>
      </c>
      <c r="E366" s="60">
        <v>78</v>
      </c>
      <c r="F366" s="60">
        <v>56</v>
      </c>
      <c r="G366" s="60">
        <v>54</v>
      </c>
      <c r="H366" s="60">
        <v>2</v>
      </c>
      <c r="I366" s="60" t="e">
        <v>#N/A</v>
      </c>
      <c r="J366" s="60">
        <v>215</v>
      </c>
      <c r="K366" s="60">
        <v>1</v>
      </c>
      <c r="L366" s="60" t="s">
        <v>18</v>
      </c>
      <c r="M366" s="85">
        <v>44985</v>
      </c>
      <c r="N366" s="83" t="str">
        <f>VLOOKUP(B366,Hoja1!$B$1:$C$25,2,0)</f>
        <v>LUISA FERNANDA MEJIA CORREA</v>
      </c>
      <c r="O366" s="1" t="e">
        <f t="shared" si="30"/>
        <v>#REF!</v>
      </c>
    </row>
    <row r="367" spans="1:15" ht="15.75" hidden="1" customHeight="1" x14ac:dyDescent="0.25">
      <c r="A367" s="83">
        <v>289</v>
      </c>
      <c r="B367" s="83" t="s">
        <v>436</v>
      </c>
      <c r="C367" s="60" t="s">
        <v>82</v>
      </c>
      <c r="D367" s="60" t="e">
        <v>#N/A</v>
      </c>
      <c r="E367" s="60">
        <v>26</v>
      </c>
      <c r="F367" s="60"/>
      <c r="G367" s="60">
        <v>26</v>
      </c>
      <c r="H367" s="60"/>
      <c r="I367" s="60" t="e">
        <v>#N/A</v>
      </c>
      <c r="J367" s="60">
        <v>59</v>
      </c>
      <c r="K367" s="60">
        <v>1</v>
      </c>
      <c r="L367" s="60" t="s">
        <v>18</v>
      </c>
      <c r="M367" s="60"/>
      <c r="N367" s="83" t="str">
        <f>VLOOKUP(B367,Hoja1!$B$1:$C$25,2,0)</f>
        <v>LUISA FERNANDA MEJIA CORREA</v>
      </c>
      <c r="O367" s="1" t="e">
        <f t="shared" si="30"/>
        <v>#REF!</v>
      </c>
    </row>
    <row r="368" spans="1:15" ht="15.75" hidden="1" customHeight="1" x14ac:dyDescent="0.25">
      <c r="A368" s="83">
        <v>290</v>
      </c>
      <c r="B368" s="83" t="s">
        <v>436</v>
      </c>
      <c r="C368" s="60" t="s">
        <v>82</v>
      </c>
      <c r="D368" s="60">
        <v>84</v>
      </c>
      <c r="E368" s="60">
        <v>2</v>
      </c>
      <c r="F368" s="60">
        <v>84</v>
      </c>
      <c r="G368" s="60">
        <v>2</v>
      </c>
      <c r="H368" s="60"/>
      <c r="I368" s="60" t="s">
        <v>460</v>
      </c>
      <c r="J368" s="60">
        <v>71</v>
      </c>
      <c r="K368" s="60">
        <v>1</v>
      </c>
      <c r="L368" s="60" t="s">
        <v>18</v>
      </c>
      <c r="M368" s="60"/>
      <c r="N368" s="83" t="str">
        <f>VLOOKUP(B368,Hoja1!$B$1:$C$25,2,0)</f>
        <v>LUISA FERNANDA MEJIA CORREA</v>
      </c>
      <c r="O368" s="1" t="e">
        <f t="shared" si="30"/>
        <v>#REF!</v>
      </c>
    </row>
    <row r="369" spans="1:15" ht="15.75" hidden="1" customHeight="1" x14ac:dyDescent="0.25">
      <c r="A369" s="83">
        <v>303</v>
      </c>
      <c r="B369" s="83" t="s">
        <v>436</v>
      </c>
      <c r="C369" s="60" t="s">
        <v>82</v>
      </c>
      <c r="D369" s="60">
        <v>116</v>
      </c>
      <c r="E369" s="60">
        <v>19</v>
      </c>
      <c r="F369" s="60">
        <v>116</v>
      </c>
      <c r="G369" s="60">
        <v>34</v>
      </c>
      <c r="H369" s="60">
        <v>15</v>
      </c>
      <c r="I369" s="60">
        <v>300</v>
      </c>
      <c r="J369" s="60">
        <v>28</v>
      </c>
      <c r="K369" s="60">
        <v>2</v>
      </c>
      <c r="L369" s="60">
        <f>I369-J369</f>
        <v>272</v>
      </c>
      <c r="M369" s="85">
        <v>44985</v>
      </c>
      <c r="N369" s="83" t="str">
        <f>VLOOKUP(B369,Hoja1!$B$1:$C$25,2,0)</f>
        <v>LUISA FERNANDA MEJIA CORREA</v>
      </c>
      <c r="O369" s="1" t="e">
        <f t="shared" si="30"/>
        <v>#REF!</v>
      </c>
    </row>
    <row r="370" spans="1:15" ht="15.75" hidden="1" customHeight="1" x14ac:dyDescent="0.25">
      <c r="A370" s="83">
        <v>314</v>
      </c>
      <c r="B370" s="83" t="s">
        <v>436</v>
      </c>
      <c r="C370" s="60" t="s">
        <v>82</v>
      </c>
      <c r="D370" s="60" t="e">
        <v>#N/A</v>
      </c>
      <c r="E370" s="60" t="e">
        <v>#N/A</v>
      </c>
      <c r="F370" s="60"/>
      <c r="G370" s="60"/>
      <c r="H370" s="60"/>
      <c r="I370" s="60" t="e">
        <v>#N/A</v>
      </c>
      <c r="J370" s="60">
        <v>9</v>
      </c>
      <c r="K370" s="60">
        <v>1</v>
      </c>
      <c r="L370" s="60" t="s">
        <v>18</v>
      </c>
      <c r="M370" s="85">
        <v>44985</v>
      </c>
      <c r="N370" s="83" t="str">
        <f>VLOOKUP(B370,Hoja1!$B$1:$C$25,2,0)</f>
        <v>LUISA FERNANDA MEJIA CORREA</v>
      </c>
      <c r="O370" s="1" t="e">
        <f t="shared" si="30"/>
        <v>#REF!</v>
      </c>
    </row>
    <row r="371" spans="1:15" ht="15.75" hidden="1" customHeight="1" x14ac:dyDescent="0.25">
      <c r="A371" s="83" t="s">
        <v>437</v>
      </c>
      <c r="B371" s="83" t="s">
        <v>436</v>
      </c>
      <c r="C371" s="60" t="s">
        <v>82</v>
      </c>
      <c r="D371" s="60">
        <v>309</v>
      </c>
      <c r="E371" s="60">
        <v>432</v>
      </c>
      <c r="F371" s="60">
        <v>54</v>
      </c>
      <c r="G371" s="60">
        <v>4</v>
      </c>
      <c r="H371" s="60">
        <v>24</v>
      </c>
      <c r="I371" s="60">
        <v>823</v>
      </c>
      <c r="J371" s="60">
        <v>220</v>
      </c>
      <c r="K371" s="60">
        <v>3</v>
      </c>
      <c r="L371" s="60">
        <f>I371-J371</f>
        <v>603</v>
      </c>
      <c r="M371" s="85">
        <v>45000</v>
      </c>
      <c r="N371" s="83" t="str">
        <f>VLOOKUP(B371,Hoja1!$B$1:$C$25,2,0)</f>
        <v>LUISA FERNANDA MEJIA CORREA</v>
      </c>
      <c r="O371" s="1" t="e">
        <f t="shared" si="30"/>
        <v>#REF!</v>
      </c>
    </row>
    <row r="372" spans="1:15" ht="15.75" customHeight="1" x14ac:dyDescent="0.25"/>
    <row r="373" spans="1:15" ht="15.75" customHeight="1" x14ac:dyDescent="0.25"/>
    <row r="374" spans="1:15" ht="15.75" customHeight="1" x14ac:dyDescent="0.25"/>
    <row r="375" spans="1:15" ht="15.75" customHeight="1" x14ac:dyDescent="0.25"/>
    <row r="376" spans="1:15" ht="15.75" customHeight="1" x14ac:dyDescent="0.25"/>
    <row r="377" spans="1:15" ht="15.75" customHeight="1" x14ac:dyDescent="0.25"/>
    <row r="378" spans="1:15" ht="15.75" customHeight="1" x14ac:dyDescent="0.25"/>
    <row r="379" spans="1:15" ht="15.75" customHeight="1" x14ac:dyDescent="0.25"/>
    <row r="380" spans="1:15" ht="15.75" customHeight="1" x14ac:dyDescent="0.25"/>
    <row r="381" spans="1:15" ht="15.75" customHeight="1" x14ac:dyDescent="0.25"/>
    <row r="382" spans="1:15" ht="15.75" customHeight="1" x14ac:dyDescent="0.25"/>
    <row r="383" spans="1:15" ht="15.75" customHeight="1" x14ac:dyDescent="0.25"/>
    <row r="384" spans="1:15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O371" xr:uid="{00000000-0009-0000-0000-000007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EquiposSena</vt:lpstr>
      <vt:lpstr>EquiposTelefonica</vt:lpstr>
      <vt:lpstr>Hoja3</vt:lpstr>
      <vt:lpstr>Hoja2</vt:lpstr>
      <vt:lpstr>Hoja1</vt:lpstr>
      <vt:lpstr>FECHAS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</cp:lastModifiedBy>
  <dcterms:modified xsi:type="dcterms:W3CDTF">2026-05-19T13:28:10Z</dcterms:modified>
</cp:coreProperties>
</file>